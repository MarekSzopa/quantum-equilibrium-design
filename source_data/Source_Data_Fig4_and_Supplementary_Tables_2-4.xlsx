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9c10712e1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c5648a1785640cc"/>
    <x:sheet xmlns:r="http://schemas.openxmlformats.org/officeDocument/2006/relationships" name="Raw_pure" sheetId="2" r:id="Re5e5cebdbed5400b"/>
    <x:sheet xmlns:r="http://schemas.openxmlformats.org/officeDocument/2006/relationships" name="Raw_II" sheetId="3" r:id="Re6c4dc17bd0b430e"/>
    <x:sheet xmlns:r="http://schemas.openxmlformats.org/officeDocument/2006/relationships" name="Raw_IiZ" sheetId="4" r:id="R9d146825343e45bd"/>
    <x:sheet xmlns:r="http://schemas.openxmlformats.org/officeDocument/2006/relationships" name="Raw_iZI" sheetId="5" r:id="Rc211f4d88c5e451f"/>
    <x:sheet xmlns:r="http://schemas.openxmlformats.org/officeDocument/2006/relationships" name="Raw_iZiZ" sheetId="6" r:id="Ra94c90f71dee45a7"/>
    <x:sheet xmlns:r="http://schemas.openxmlformats.org/officeDocument/2006/relationships" name="Mixed_Reconstructed" sheetId="7" r:id="Ra211ec46c8d74de8"/>
    <x:sheet xmlns:r="http://schemas.openxmlformats.org/officeDocument/2006/relationships" name="Figure4_Source_Data" sheetId="8" r:id="R17a2ca1474354b77"/>
    <x:sheet xmlns:r="http://schemas.openxmlformats.org/officeDocument/2006/relationships" name="Supp_Table_2" sheetId="9" r:id="R2c764d7c2bd7499e"/>
    <x:sheet xmlns:r="http://schemas.openxmlformats.org/officeDocument/2006/relationships" name="Supp_Table_3" sheetId="10" r:id="Rcdd52b5eada04f73"/>
    <x:sheet xmlns:r="http://schemas.openxmlformats.org/officeDocument/2006/relationships" name="Supp_Table_4" sheetId="11" r:id="R397fdf5e3fb5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A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2" fillId="3" borderId="3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6b6860e774ea4" /><Relationship Type="http://schemas.openxmlformats.org/officeDocument/2006/relationships/theme" Target="/xl/theme/theme1.xml" Id="R70382b2b2c134775" /><Relationship Type="http://schemas.openxmlformats.org/officeDocument/2006/relationships/sharedStrings" Target="/xl/sharedStrings.xml" Id="R8a14b5f1879f4ca3" /><Relationship Type="http://schemas.openxmlformats.org/officeDocument/2006/relationships/worksheet" Target="/xl/worksheets/sheet1.xml" Id="R0c5648a1785640cc" /><Relationship Type="http://schemas.openxmlformats.org/officeDocument/2006/relationships/worksheet" Target="/xl/worksheets/sheet2.xml" Id="Re5e5cebdbed5400b" /><Relationship Type="http://schemas.openxmlformats.org/officeDocument/2006/relationships/worksheet" Target="/xl/worksheets/sheet3.xml" Id="Re6c4dc17bd0b430e" /><Relationship Type="http://schemas.openxmlformats.org/officeDocument/2006/relationships/worksheet" Target="/xl/worksheets/sheet4.xml" Id="R9d146825343e45bd" /><Relationship Type="http://schemas.openxmlformats.org/officeDocument/2006/relationships/worksheet" Target="/xl/worksheets/sheet5.xml" Id="Rc211f4d88c5e451f" /><Relationship Type="http://schemas.openxmlformats.org/officeDocument/2006/relationships/worksheet" Target="/xl/worksheets/sheet6.xml" Id="Ra94c90f71dee45a7" /><Relationship Type="http://schemas.openxmlformats.org/officeDocument/2006/relationships/worksheet" Target="/xl/worksheets/sheet7.xml" Id="Ra211ec46c8d74de8" /><Relationship Type="http://schemas.openxmlformats.org/officeDocument/2006/relationships/worksheet" Target="/xl/worksheets/sheet8.xml" Id="R17a2ca1474354b77" /><Relationship Type="http://schemas.openxmlformats.org/officeDocument/2006/relationships/worksheet" Target="/xl/worksheets/sheet9.xml" Id="R2c764d7c2bd7499e" /><Relationship Type="http://schemas.openxmlformats.org/officeDocument/2006/relationships/worksheet" Target="/xl/worksheets/sheet10.xml" Id="Rcdd52b5eada04f73" /><Relationship Type="http://schemas.openxmlformats.org/officeDocument/2006/relationships/worksheet" Target="/xl/worksheets/sheet11.xml" Id="R397fdf5e3fb540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2" hidden="0" customWidth="1"/>
  </x:cols>
  <x:sheetData>
    <x:row r="1">
      <x:c r="A1" s="22" t="str">
        <x:v>Source data: quantum equilibrium design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15" t="str">
        <x:v>File/sheet</x:v>
      </x:c>
      <x:c r="B3" s="15" t="str">
        <x:v>Contents</x:v>
      </x:c>
      <x:c r="C3" s="23"/>
      <x:c r="D3" s="23"/>
      <x:c r="E3" s="23"/>
      <x:c r="F3" s="23"/>
    </x:row>
    <x:row r="4">
      <x:c r="A4" s="23" t="str">
        <x:v>Figure4_run_level_payoff_estimates</x:v>
      </x:c>
      <x:c r="B4" s="23" t="str">
        <x:v>300 run-level payoff points underlying the three panels of Fig. 4.</x:v>
      </x:c>
      <x:c r="C4" s="23"/>
      <x:c r="D4" s="23"/>
      <x:c r="E4" s="23"/>
      <x:c r="F4" s="23"/>
    </x:row>
    <x:row r="5">
      <x:c r="A5" s="23" t="str">
        <x:v>Raw_*</x:v>
      </x:c>
      <x:c r="B5" s="23" t="str">
        <x:v>Raw IBM Quantum counts and probabilities for each circuit configuration.</x:v>
      </x:c>
      <x:c r="C5" s="23"/>
      <x:c r="D5" s="23"/>
      <x:c r="E5" s="23"/>
      <x:c r="F5" s="23"/>
    </x:row>
    <x:row r="6">
      <x:c r="A6" s="23" t="str">
        <x:v>Mixed_Reconstructed</x:v>
      </x:c>
      <x:c r="B6" s="23" t="str">
        <x:v>Run-matched equally weighted reconstruction from the four mixed-strategy component circuits.</x:v>
      </x:c>
      <x:c r="C6" s="23"/>
      <x:c r="D6" s="23"/>
      <x:c r="E6" s="23"/>
      <x:c r="F6" s="23"/>
    </x:row>
    <x:row r="7">
      <x:c r="A7" s="23" t="str">
        <x:v>Supp_Table_2</x:v>
      </x:c>
      <x:c r="B7" s="23" t="str">
        <x:v>Outcome-distribution means, target probabilities, and total variation distances.</x:v>
      </x:c>
      <x:c r="C7" s="23"/>
      <x:c r="D7" s="23"/>
      <x:c r="E7" s="23"/>
      <x:c r="F7" s="23"/>
    </x:row>
    <x:row r="8">
      <x:c r="A8" s="23" t="str">
        <x:v>Supp_Table_3</x:v>
      </x:c>
      <x:c r="B8" s="23" t="str">
        <x:v>Theoretical and measured payoff vectors, run SD, bias, and 2D RMSE.</x:v>
      </x:c>
      <x:c r="C8" s="23"/>
      <x:c r="D8" s="23"/>
      <x:c r="E8" s="23"/>
      <x:c r="F8" s="23"/>
    </x:row>
    <x:row r="9">
      <x:c r="A9" s="23" t="str">
        <x:v>Supp_Table_4</x:v>
      </x:c>
      <x:c r="B9" s="23" t="str">
        <x:v>Common-payoff and payoff-asymmetry means, SDs, and 95% confidence intervals.</x:v>
      </x:c>
      <x:c r="C9" s="23"/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15" t="str">
        <x:v>Item</x:v>
      </x:c>
      <x:c r="B11" s="15" t="str">
        <x:v>Value</x:v>
      </x:c>
      <x:c r="C11" s="23"/>
      <x:c r="D11" s="23"/>
      <x:c r="E11" s="23"/>
      <x:c r="F11" s="23"/>
    </x:row>
    <x:row r="12">
      <x:c r="A12" s="23" t="str">
        <x:v>Input raw files</x:v>
      </x:c>
      <x:c r="B12" s="23" t="str">
        <x:v>wyniki_czysta.txt, wyniki_IIa.txt, wyniki_IiZa.txt, wyniki_iZIa.txt, wyniki_iZiZa.txt</x:v>
      </x:c>
      <x:c r="C12" s="23"/>
      <x:c r="D12" s="23"/>
      <x:c r="E12" s="23"/>
      <x:c r="F12" s="23"/>
    </x:row>
    <x:row r="13">
      <x:c r="A13" s="23" t="str">
        <x:v>Pure circuit</x:v>
      </x:c>
      <x:c r="B13" s="23" t="str">
        <x:v>100 runs x 1024 shots</x:v>
      </x:c>
      <x:c r="C13" s="23"/>
      <x:c r="D13" s="23"/>
      <x:c r="E13" s="23"/>
      <x:c r="F13" s="23"/>
    </x:row>
    <x:row r="14">
      <x:c r="A14" s="23" t="str">
        <x:v>Mixed components</x:v>
      </x:c>
      <x:c r="B14" s="23" t="str">
        <x:v>4 circuits x 100 runs x 256 shots</x:v>
      </x:c>
      <x:c r="C14" s="23"/>
      <x:c r="D14" s="23"/>
      <x:c r="E14" s="23"/>
      <x:c r="F14" s="23"/>
    </x:row>
    <x:row r="15">
      <x:c r="A15" s="23" t="str">
        <x:v>Reconstructed mixed point</x:v>
      </x:c>
      <x:c r="B15" s="23" t="str">
        <x:v>Equal average of matched runs from the four mixed components</x:v>
      </x:c>
      <x:c r="C15" s="23"/>
      <x:c r="D15" s="23"/>
      <x:c r="E15" s="23"/>
      <x:c r="F15" s="23"/>
    </x:row>
    <x:row r="16">
      <x:c r="A16" s="23" t="str">
        <x:v>95% CI</x:v>
      </x:c>
      <x:c r="B16" s="23" t="str">
        <x:v>Two-sided Student-t interval, df=99</x:v>
      </x:c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15" t="str">
        <x:v>Scope note</x:v>
      </x:c>
      <x:c r="B18" s="15" t="str">
        <x:v>Details</x:v>
      </x:c>
      <x:c r="C18" s="23"/>
      <x:c r="D18" s="23"/>
      <x:c r="E18" s="23"/>
      <x:c r="F18" s="23"/>
    </x:row>
    <x:row r="19">
      <x:c r="A19" s="23" t="str">
        <x:v>Figures 2 and 3</x:v>
      </x:c>
      <x:c r="B19" s="23" t="str">
        <x:v>Deterministic Mathematica figures; exact source-data exports should be generated from their .nb notebooks.</x:v>
      </x:c>
      <x:c r="C19" s="23"/>
      <x:c r="D19" s="23"/>
      <x:c r="E19" s="23"/>
      <x:c r="F19" s="23"/>
    </x:row>
    <x:row r="20">
      <x:c r="A20" s="23" t="str">
        <x:v>Figure 4</x:v>
      </x:c>
      <x:c r="B20" s="23" t="str">
        <x:v>Fully included here at run level.</x:v>
      </x:c>
      <x:c r="C20" s="23"/>
      <x:c r="D20" s="23"/>
      <x:c r="E20" s="23"/>
      <x:c r="F20" s="23"/>
    </x:row>
    <x:row r="21">
      <x:c r="A21" s="23" t="str">
        <x:v>Supplementary Tables 2-4</x:v>
      </x:c>
      <x:c r="B21" s="23" t="str">
        <x:v>Fully reproduced from the raw IBM Quantum count files.</x:v>
      </x:c>
      <x:c r="C21" s="23"/>
      <x:c r="D21" s="23"/>
      <x:c r="E21" s="23"/>
      <x:c r="F21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Raw counts and derived probabilities: iX, (I+iZ)/sqrt(2)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8" t="str">
        <x:v>run</x:v>
      </x:c>
      <x:c r="B3" s="28" t="str">
        <x:v>shots</x:v>
      </x:c>
      <x:c r="C3" s="28" t="str">
        <x:v>count_00</x:v>
      </x:c>
      <x:c r="D3" s="28" t="str">
        <x:v>count_01</x:v>
      </x:c>
      <x:c r="E3" s="28" t="str">
        <x:v>count_10</x:v>
      </x:c>
      <x:c r="F3" s="28" t="str">
        <x:v>count_11</x:v>
      </x:c>
      <x:c r="G3" s="28" t="str">
        <x:v>p00</x:v>
      </x:c>
      <x:c r="H3" s="28" t="str">
        <x:v>p01</x:v>
      </x:c>
      <x:c r="I3" s="28" t="str">
        <x:v>p10</x:v>
      </x:c>
      <x:c r="J3" s="28" t="str">
        <x:v>p11</x:v>
      </x:c>
      <x:c r="K3" s="28" t="str">
        <x:v>target_probability</x:v>
      </x:c>
      <x:c r="L3" s="28" t="str">
        <x:v>TVD</x:v>
      </x:c>
    </x:row>
    <x:row r="4">
      <x:c r="A4" s="29" t="n">
        <x:v>1</x:v>
      </x:c>
      <x:c r="B4" s="29" t="n">
        <x:v>1024</x:v>
      </x:c>
      <x:c r="C4" s="29" t="n">
        <x:v>12</x:v>
      </x:c>
      <x:c r="D4" s="29" t="n">
        <x:v>501</x:v>
      </x:c>
      <x:c r="E4" s="29" t="n">
        <x:v>505</x:v>
      </x:c>
      <x:c r="F4" s="29" t="n">
        <x:v>6</x:v>
      </x:c>
      <x:c r="G4" s="30" t="n">
        <x:f>C4/B4</x:f>
        <x:v>0.01171875</x:v>
      </x:c>
      <x:c r="H4" s="30" t="n">
        <x:f>D4/B4</x:f>
        <x:v>0.4892578125</x:v>
      </x:c>
      <x:c r="I4" s="30" t="n">
        <x:f>E4/B4</x:f>
        <x:v>0.4931640625</x:v>
      </x:c>
      <x:c r="J4" s="30" t="n">
        <x:f>F4/B4</x:f>
        <x:v>0.005859375</x:v>
      </x:c>
      <x:c r="K4" s="30" t="n">
        <x:f>H4+I4</x:f>
        <x:v>0.982421875</x:v>
      </x:c>
      <x:c r="L4" s="30" t="n">
        <x:f>0.5*(ABS(G4)+ABS(H4-0.5)+ABS(I4-0.5)+ABS(J4))</x:f>
        <x:v>0.017578125</x:v>
      </x:c>
    </x:row>
    <x:row r="5">
      <x:c r="A5" s="29" t="n">
        <x:v>2</x:v>
      </x:c>
      <x:c r="B5" s="29" t="n">
        <x:v>1024</x:v>
      </x:c>
      <x:c r="C5" s="29" t="n">
        <x:v>9</x:v>
      </x:c>
      <x:c r="D5" s="29" t="n">
        <x:v>523</x:v>
      </x:c>
      <x:c r="E5" s="29" t="n">
        <x:v>487</x:v>
      </x:c>
      <x:c r="F5" s="29" t="n">
        <x:v>5</x:v>
      </x:c>
      <x:c r="G5" s="30" t="n">
        <x:f>C5/B5</x:f>
        <x:v>0.0087890625</x:v>
      </x:c>
      <x:c r="H5" s="30" t="n">
        <x:f>D5/B5</x:f>
        <x:v>0.5107421875</x:v>
      </x:c>
      <x:c r="I5" s="30" t="n">
        <x:f>E5/B5</x:f>
        <x:v>0.4755859375</x:v>
      </x:c>
      <x:c r="J5" s="30" t="n">
        <x:f>F5/B5</x:f>
        <x:v>0.0048828125</x:v>
      </x:c>
      <x:c r="K5" s="30" t="n">
        <x:f>H5+I5</x:f>
        <x:v>0.986328125</x:v>
      </x:c>
      <x:c r="L5" s="30" t="n">
        <x:f>0.5*(ABS(G5)+ABS(H5-0.5)+ABS(I5-0.5)+ABS(J5))</x:f>
        <x:v>0.0244140625</x:v>
      </x:c>
    </x:row>
    <x:row r="6">
      <x:c r="A6" s="29" t="n">
        <x:v>3</x:v>
      </x:c>
      <x:c r="B6" s="29" t="n">
        <x:v>1024</x:v>
      </x:c>
      <x:c r="C6" s="29" t="n">
        <x:v>9</x:v>
      </x:c>
      <x:c r="D6" s="29" t="n">
        <x:v>497</x:v>
      </x:c>
      <x:c r="E6" s="29" t="n">
        <x:v>512</x:v>
      </x:c>
      <x:c r="F6" s="29" t="n">
        <x:v>6</x:v>
      </x:c>
      <x:c r="G6" s="30" t="n">
        <x:f>C6/B6</x:f>
        <x:v>0.0087890625</x:v>
      </x:c>
      <x:c r="H6" s="30" t="n">
        <x:f>D6/B6</x:f>
        <x:v>0.4853515625</x:v>
      </x:c>
      <x:c r="I6" s="30" t="n">
        <x:f>E6/B6</x:f>
        <x:v>0.5</x:v>
      </x:c>
      <x:c r="J6" s="30" t="n">
        <x:f>F6/B6</x:f>
        <x:v>0.005859375</x:v>
      </x:c>
      <x:c r="K6" s="30" t="n">
        <x:f>H6+I6</x:f>
        <x:v>0.9853515625</x:v>
      </x:c>
      <x:c r="L6" s="30" t="n">
        <x:f>0.5*(ABS(G6)+ABS(H6-0.5)+ABS(I6-0.5)+ABS(J6))</x:f>
        <x:v>0.0146484375</x:v>
      </x:c>
    </x:row>
    <x:row r="7">
      <x:c r="A7" s="29" t="n">
        <x:v>4</x:v>
      </x:c>
      <x:c r="B7" s="29" t="n">
        <x:v>1024</x:v>
      </x:c>
      <x:c r="C7" s="29" t="n">
        <x:v>10</x:v>
      </x:c>
      <x:c r="D7" s="29" t="n">
        <x:v>492</x:v>
      </x:c>
      <x:c r="E7" s="29" t="n">
        <x:v>516</x:v>
      </x:c>
      <x:c r="F7" s="29" t="n">
        <x:v>6</x:v>
      </x:c>
      <x:c r="G7" s="30" t="n">
        <x:f>C7/B7</x:f>
        <x:v>0.009765625</x:v>
      </x:c>
      <x:c r="H7" s="30" t="n">
        <x:f>D7/B7</x:f>
        <x:v>0.48046875</x:v>
      </x:c>
      <x:c r="I7" s="30" t="n">
        <x:f>E7/B7</x:f>
        <x:v>0.50390625</x:v>
      </x:c>
      <x:c r="J7" s="30" t="n">
        <x:f>F7/B7</x:f>
        <x:v>0.005859375</x:v>
      </x:c>
      <x:c r="K7" s="30" t="n">
        <x:f>H7+I7</x:f>
        <x:v>0.984375</x:v>
      </x:c>
      <x:c r="L7" s="30" t="n">
        <x:f>0.5*(ABS(G7)+ABS(H7-0.5)+ABS(I7-0.5)+ABS(J7))</x:f>
        <x:v>0.01953125</x:v>
      </x:c>
    </x:row>
    <x:row r="8">
      <x:c r="A8" s="29" t="n">
        <x:v>5</x:v>
      </x:c>
      <x:c r="B8" s="29" t="n">
        <x:v>1024</x:v>
      </x:c>
      <x:c r="C8" s="29" t="n">
        <x:v>11</x:v>
      </x:c>
      <x:c r="D8" s="29" t="n">
        <x:v>507</x:v>
      </x:c>
      <x:c r="E8" s="29" t="n">
        <x:v>495</x:v>
      </x:c>
      <x:c r="F8" s="29" t="n">
        <x:v>11</x:v>
      </x:c>
      <x:c r="G8" s="30" t="n">
        <x:f>C8/B8</x:f>
        <x:v>0.0107421875</x:v>
      </x:c>
      <x:c r="H8" s="30" t="n">
        <x:f>D8/B8</x:f>
        <x:v>0.4951171875</x:v>
      </x:c>
      <x:c r="I8" s="30" t="n">
        <x:f>E8/B8</x:f>
        <x:v>0.4833984375</x:v>
      </x:c>
      <x:c r="J8" s="30" t="n">
        <x:f>F8/B8</x:f>
        <x:v>0.0107421875</x:v>
      </x:c>
      <x:c r="K8" s="30" t="n">
        <x:f>H8+I8</x:f>
        <x:v>0.978515625</x:v>
      </x:c>
      <x:c r="L8" s="30" t="n">
        <x:f>0.5*(ABS(G8)+ABS(H8-0.5)+ABS(I8-0.5)+ABS(J8))</x:f>
        <x:v>0.021484375</x:v>
      </x:c>
    </x:row>
    <x:row r="9">
      <x:c r="A9" s="29" t="n">
        <x:v>6</x:v>
      </x:c>
      <x:c r="B9" s="29" t="n">
        <x:v>1024</x:v>
      </x:c>
      <x:c r="C9" s="29" t="n">
        <x:v>10</x:v>
      </x:c>
      <x:c r="D9" s="29" t="n">
        <x:v>522</x:v>
      </x:c>
      <x:c r="E9" s="29" t="n">
        <x:v>482</x:v>
      </x:c>
      <x:c r="F9" s="29" t="n">
        <x:v>10</x:v>
      </x:c>
      <x:c r="G9" s="30" t="n">
        <x:f>C9/B9</x:f>
        <x:v>0.009765625</x:v>
      </x:c>
      <x:c r="H9" s="30" t="n">
        <x:f>D9/B9</x:f>
        <x:v>0.509765625</x:v>
      </x:c>
      <x:c r="I9" s="30" t="n">
        <x:f>E9/B9</x:f>
        <x:v>0.470703125</x:v>
      </x:c>
      <x:c r="J9" s="30" t="n">
        <x:f>F9/B9</x:f>
        <x:v>0.009765625</x:v>
      </x:c>
      <x:c r="K9" s="30" t="n">
        <x:f>H9+I9</x:f>
        <x:v>0.98046875</x:v>
      </x:c>
      <x:c r="L9" s="30" t="n">
        <x:f>0.5*(ABS(G9)+ABS(H9-0.5)+ABS(I9-0.5)+ABS(J9))</x:f>
        <x:v>0.029296875</x:v>
      </x:c>
    </x:row>
    <x:row r="10">
      <x:c r="A10" s="29" t="n">
        <x:v>7</x:v>
      </x:c>
      <x:c r="B10" s="29" t="n">
        <x:v>1024</x:v>
      </x:c>
      <x:c r="C10" s="29" t="n">
        <x:v>6</x:v>
      </x:c>
      <x:c r="D10" s="29" t="n">
        <x:v>493</x:v>
      </x:c>
      <x:c r="E10" s="29" t="n">
        <x:v>518</x:v>
      </x:c>
      <x:c r="F10" s="29" t="n">
        <x:v>7</x:v>
      </x:c>
      <x:c r="G10" s="30" t="n">
        <x:f>C10/B10</x:f>
        <x:v>0.005859375</x:v>
      </x:c>
      <x:c r="H10" s="30" t="n">
        <x:f>D10/B10</x:f>
        <x:v>0.4814453125</x:v>
      </x:c>
      <x:c r="I10" s="30" t="n">
        <x:f>E10/B10</x:f>
        <x:v>0.505859375</x:v>
      </x:c>
      <x:c r="J10" s="30" t="n">
        <x:f>F10/B10</x:f>
        <x:v>0.0068359375</x:v>
      </x:c>
      <x:c r="K10" s="30" t="n">
        <x:f>H10+I10</x:f>
        <x:v>0.9873046875</x:v>
      </x:c>
      <x:c r="L10" s="30" t="n">
        <x:f>0.5*(ABS(G10)+ABS(H10-0.5)+ABS(I10-0.5)+ABS(J10))</x:f>
        <x:v>0.0185546875</x:v>
      </x:c>
    </x:row>
    <x:row r="11">
      <x:c r="A11" s="29" t="n">
        <x:v>8</x:v>
      </x:c>
      <x:c r="B11" s="29" t="n">
        <x:v>1024</x:v>
      </x:c>
      <x:c r="C11" s="29" t="n">
        <x:v>11</x:v>
      </x:c>
      <x:c r="D11" s="29" t="n">
        <x:v>482</x:v>
      </x:c>
      <x:c r="E11" s="29" t="n">
        <x:v>517</x:v>
      </x:c>
      <x:c r="F11" s="29" t="n">
        <x:v>14</x:v>
      </x:c>
      <x:c r="G11" s="30" t="n">
        <x:f>C11/B11</x:f>
        <x:v>0.0107421875</x:v>
      </x:c>
      <x:c r="H11" s="30" t="n">
        <x:f>D11/B11</x:f>
        <x:v>0.470703125</x:v>
      </x:c>
      <x:c r="I11" s="30" t="n">
        <x:f>E11/B11</x:f>
        <x:v>0.5048828125</x:v>
      </x:c>
      <x:c r="J11" s="30" t="n">
        <x:f>F11/B11</x:f>
        <x:v>0.013671875</x:v>
      </x:c>
      <x:c r="K11" s="30" t="n">
        <x:f>H11+I11</x:f>
        <x:v>0.9755859375</x:v>
      </x:c>
      <x:c r="L11" s="30" t="n">
        <x:f>0.5*(ABS(G11)+ABS(H11-0.5)+ABS(I11-0.5)+ABS(J11))</x:f>
        <x:v>0.029296875</x:v>
      </x:c>
    </x:row>
    <x:row r="12">
      <x:c r="A12" s="29" t="n">
        <x:v>9</x:v>
      </x:c>
      <x:c r="B12" s="29" t="n">
        <x:v>1024</x:v>
      </x:c>
      <x:c r="C12" s="29" t="n">
        <x:v>5</x:v>
      </x:c>
      <x:c r="D12" s="29" t="n">
        <x:v>493</x:v>
      </x:c>
      <x:c r="E12" s="29" t="n">
        <x:v>516</x:v>
      </x:c>
      <x:c r="F12" s="29" t="n">
        <x:v>10</x:v>
      </x:c>
      <x:c r="G12" s="30" t="n">
        <x:f>C12/B12</x:f>
        <x:v>0.0048828125</x:v>
      </x:c>
      <x:c r="H12" s="30" t="n">
        <x:f>D12/B12</x:f>
        <x:v>0.4814453125</x:v>
      </x:c>
      <x:c r="I12" s="30" t="n">
        <x:f>E12/B12</x:f>
        <x:v>0.50390625</x:v>
      </x:c>
      <x:c r="J12" s="30" t="n">
        <x:f>F12/B12</x:f>
        <x:v>0.009765625</x:v>
      </x:c>
      <x:c r="K12" s="30" t="n">
        <x:f>H12+I12</x:f>
        <x:v>0.9853515625</x:v>
      </x:c>
      <x:c r="L12" s="30" t="n">
        <x:f>0.5*(ABS(G12)+ABS(H12-0.5)+ABS(I12-0.5)+ABS(J12))</x:f>
        <x:v>0.0185546875</x:v>
      </x:c>
    </x:row>
    <x:row r="13">
      <x:c r="A13" s="29" t="n">
        <x:v>10</x:v>
      </x:c>
      <x:c r="B13" s="29" t="n">
        <x:v>1024</x:v>
      </x:c>
      <x:c r="C13" s="29" t="n">
        <x:v>7</x:v>
      </x:c>
      <x:c r="D13" s="29" t="n">
        <x:v>497</x:v>
      </x:c>
      <x:c r="E13" s="29" t="n">
        <x:v>511</x:v>
      </x:c>
      <x:c r="F13" s="29" t="n">
        <x:v>9</x:v>
      </x:c>
      <x:c r="G13" s="30" t="n">
        <x:f>C13/B13</x:f>
        <x:v>0.0068359375</x:v>
      </x:c>
      <x:c r="H13" s="30" t="n">
        <x:f>D13/B13</x:f>
        <x:v>0.4853515625</x:v>
      </x:c>
      <x:c r="I13" s="30" t="n">
        <x:f>E13/B13</x:f>
        <x:v>0.4990234375</x:v>
      </x:c>
      <x:c r="J13" s="30" t="n">
        <x:f>F13/B13</x:f>
        <x:v>0.0087890625</x:v>
      </x:c>
      <x:c r="K13" s="30" t="n">
        <x:f>H13+I13</x:f>
        <x:v>0.984375</x:v>
      </x:c>
      <x:c r="L13" s="30" t="n">
        <x:f>0.5*(ABS(G13)+ABS(H13-0.5)+ABS(I13-0.5)+ABS(J13))</x:f>
        <x:v>0.015625</x:v>
      </x:c>
    </x:row>
    <x:row r="14">
      <x:c r="A14" s="29" t="n">
        <x:v>11</x:v>
      </x:c>
      <x:c r="B14" s="29" t="n">
        <x:v>1024</x:v>
      </x:c>
      <x:c r="C14" s="29" t="n">
        <x:v>6</x:v>
      </x:c>
      <x:c r="D14" s="29" t="n">
        <x:v>515</x:v>
      </x:c>
      <x:c r="E14" s="29" t="n">
        <x:v>496</x:v>
      </x:c>
      <x:c r="F14" s="29" t="n">
        <x:v>7</x:v>
      </x:c>
      <x:c r="G14" s="30" t="n">
        <x:f>C14/B14</x:f>
        <x:v>0.005859375</x:v>
      </x:c>
      <x:c r="H14" s="30" t="n">
        <x:f>D14/B14</x:f>
        <x:v>0.5029296875</x:v>
      </x:c>
      <x:c r="I14" s="30" t="n">
        <x:f>E14/B14</x:f>
        <x:v>0.484375</x:v>
      </x:c>
      <x:c r="J14" s="30" t="n">
        <x:f>F14/B14</x:f>
        <x:v>0.0068359375</x:v>
      </x:c>
      <x:c r="K14" s="30" t="n">
        <x:f>H14+I14</x:f>
        <x:v>0.9873046875</x:v>
      </x:c>
      <x:c r="L14" s="30" t="n">
        <x:f>0.5*(ABS(G14)+ABS(H14-0.5)+ABS(I14-0.5)+ABS(J14))</x:f>
        <x:v>0.015625</x:v>
      </x:c>
    </x:row>
    <x:row r="15">
      <x:c r="A15" s="29" t="n">
        <x:v>12</x:v>
      </x:c>
      <x:c r="B15" s="29" t="n">
        <x:v>1024</x:v>
      </x:c>
      <x:c r="C15" s="29" t="n">
        <x:v>8</x:v>
      </x:c>
      <x:c r="D15" s="29" t="n">
        <x:v>521</x:v>
      </x:c>
      <x:c r="E15" s="29" t="n">
        <x:v>490</x:v>
      </x:c>
      <x:c r="F15" s="29" t="n">
        <x:v>5</x:v>
      </x:c>
      <x:c r="G15" s="30" t="n">
        <x:f>C15/B15</x:f>
        <x:v>0.0078125</x:v>
      </x:c>
      <x:c r="H15" s="30" t="n">
        <x:f>D15/B15</x:f>
        <x:v>0.5087890625</x:v>
      </x:c>
      <x:c r="I15" s="30" t="n">
        <x:f>E15/B15</x:f>
        <x:v>0.478515625</x:v>
      </x:c>
      <x:c r="J15" s="30" t="n">
        <x:f>F15/B15</x:f>
        <x:v>0.0048828125</x:v>
      </x:c>
      <x:c r="K15" s="30" t="n">
        <x:f>H15+I15</x:f>
        <x:v>0.9873046875</x:v>
      </x:c>
      <x:c r="L15" s="30" t="n">
        <x:f>0.5*(ABS(G15)+ABS(H15-0.5)+ABS(I15-0.5)+ABS(J15))</x:f>
        <x:v>0.021484375</x:v>
      </x:c>
    </x:row>
    <x:row r="16">
      <x:c r="A16" s="29" t="n">
        <x:v>13</x:v>
      </x:c>
      <x:c r="B16" s="29" t="n">
        <x:v>1024</x:v>
      </x:c>
      <x:c r="C16" s="29" t="n">
        <x:v>7</x:v>
      </x:c>
      <x:c r="D16" s="29" t="n">
        <x:v>502</x:v>
      </x:c>
      <x:c r="E16" s="29" t="n">
        <x:v>503</x:v>
      </x:c>
      <x:c r="F16" s="29" t="n">
        <x:v>12</x:v>
      </x:c>
      <x:c r="G16" s="30" t="n">
        <x:f>C16/B16</x:f>
        <x:v>0.0068359375</x:v>
      </x:c>
      <x:c r="H16" s="30" t="n">
        <x:f>D16/B16</x:f>
        <x:v>0.490234375</x:v>
      </x:c>
      <x:c r="I16" s="30" t="n">
        <x:f>E16/B16</x:f>
        <x:v>0.4912109375</x:v>
      </x:c>
      <x:c r="J16" s="30" t="n">
        <x:f>F16/B16</x:f>
        <x:v>0.01171875</x:v>
      </x:c>
      <x:c r="K16" s="30" t="n">
        <x:f>H16+I16</x:f>
        <x:v>0.9814453125</x:v>
      </x:c>
      <x:c r="L16" s="30" t="n">
        <x:f>0.5*(ABS(G16)+ABS(H16-0.5)+ABS(I16-0.5)+ABS(J16))</x:f>
        <x:v>0.0185546875</x:v>
      </x:c>
    </x:row>
    <x:row r="17">
      <x:c r="A17" s="29" t="n">
        <x:v>14</x:v>
      </x:c>
      <x:c r="B17" s="29" t="n">
        <x:v>1024</x:v>
      </x:c>
      <x:c r="C17" s="29" t="n">
        <x:v>6</x:v>
      </x:c>
      <x:c r="D17" s="29" t="n">
        <x:v>513</x:v>
      </x:c>
      <x:c r="E17" s="29" t="n">
        <x:v>498</x:v>
      </x:c>
      <x:c r="F17" s="29" t="n">
        <x:v>7</x:v>
      </x:c>
      <x:c r="G17" s="30" t="n">
        <x:f>C17/B17</x:f>
        <x:v>0.005859375</x:v>
      </x:c>
      <x:c r="H17" s="30" t="n">
        <x:f>D17/B17</x:f>
        <x:v>0.5009765625</x:v>
      </x:c>
      <x:c r="I17" s="30" t="n">
        <x:f>E17/B17</x:f>
        <x:v>0.486328125</x:v>
      </x:c>
      <x:c r="J17" s="30" t="n">
        <x:f>F17/B17</x:f>
        <x:v>0.0068359375</x:v>
      </x:c>
      <x:c r="K17" s="30" t="n">
        <x:f>H17+I17</x:f>
        <x:v>0.9873046875</x:v>
      </x:c>
      <x:c r="L17" s="30" t="n">
        <x:f>0.5*(ABS(G17)+ABS(H17-0.5)+ABS(I17-0.5)+ABS(J17))</x:f>
        <x:v>0.013671875</x:v>
      </x:c>
    </x:row>
    <x:row r="18">
      <x:c r="A18" s="29" t="n">
        <x:v>15</x:v>
      </x:c>
      <x:c r="B18" s="29" t="n">
        <x:v>1024</x:v>
      </x:c>
      <x:c r="C18" s="29" t="n">
        <x:v>4</x:v>
      </x:c>
      <x:c r="D18" s="29" t="n">
        <x:v>486</x:v>
      </x:c>
      <x:c r="E18" s="29" t="n">
        <x:v>532</x:v>
      </x:c>
      <x:c r="F18" s="29" t="n">
        <x:v>2</x:v>
      </x:c>
      <x:c r="G18" s="30" t="n">
        <x:f>C18/B18</x:f>
        <x:v>0.00390625</x:v>
      </x:c>
      <x:c r="H18" s="30" t="n">
        <x:f>D18/B18</x:f>
        <x:v>0.474609375</x:v>
      </x:c>
      <x:c r="I18" s="30" t="n">
        <x:f>E18/B18</x:f>
        <x:v>0.51953125</x:v>
      </x:c>
      <x:c r="J18" s="30" t="n">
        <x:f>F18/B18</x:f>
        <x:v>0.001953125</x:v>
      </x:c>
      <x:c r="K18" s="30" t="n">
        <x:f>H18+I18</x:f>
        <x:v>0.994140625</x:v>
      </x:c>
      <x:c r="L18" s="30" t="n">
        <x:f>0.5*(ABS(G18)+ABS(H18-0.5)+ABS(I18-0.5)+ABS(J18))</x:f>
        <x:v>0.025390625</x:v>
      </x:c>
    </x:row>
    <x:row r="19">
      <x:c r="A19" s="29" t="n">
        <x:v>16</x:v>
      </x:c>
      <x:c r="B19" s="29" t="n">
        <x:v>1024</x:v>
      </x:c>
      <x:c r="C19" s="29" t="n">
        <x:v>7</x:v>
      </x:c>
      <x:c r="D19" s="29" t="n">
        <x:v>505</x:v>
      </x:c>
      <x:c r="E19" s="29" t="n">
        <x:v>503</x:v>
      </x:c>
      <x:c r="F19" s="29" t="n">
        <x:v>9</x:v>
      </x:c>
      <x:c r="G19" s="30" t="n">
        <x:f>C19/B19</x:f>
        <x:v>0.0068359375</x:v>
      </x:c>
      <x:c r="H19" s="30" t="n">
        <x:f>D19/B19</x:f>
        <x:v>0.4931640625</x:v>
      </x:c>
      <x:c r="I19" s="30" t="n">
        <x:f>E19/B19</x:f>
        <x:v>0.4912109375</x:v>
      </x:c>
      <x:c r="J19" s="30" t="n">
        <x:f>F19/B19</x:f>
        <x:v>0.0087890625</x:v>
      </x:c>
      <x:c r="K19" s="30" t="n">
        <x:f>H19+I19</x:f>
        <x:v>0.984375</x:v>
      </x:c>
      <x:c r="L19" s="30" t="n">
        <x:f>0.5*(ABS(G19)+ABS(H19-0.5)+ABS(I19-0.5)+ABS(J19))</x:f>
        <x:v>0.015625</x:v>
      </x:c>
    </x:row>
    <x:row r="20">
      <x:c r="A20" s="29" t="n">
        <x:v>17</x:v>
      </x:c>
      <x:c r="B20" s="29" t="n">
        <x:v>1024</x:v>
      </x:c>
      <x:c r="C20" s="29" t="n">
        <x:v>13</x:v>
      </x:c>
      <x:c r="D20" s="29" t="n">
        <x:v>524</x:v>
      </x:c>
      <x:c r="E20" s="29" t="n">
        <x:v>481</x:v>
      </x:c>
      <x:c r="F20" s="29" t="n">
        <x:v>6</x:v>
      </x:c>
      <x:c r="G20" s="30" t="n">
        <x:f>C20/B20</x:f>
        <x:v>0.0126953125</x:v>
      </x:c>
      <x:c r="H20" s="30" t="n">
        <x:f>D20/B20</x:f>
        <x:v>0.51171875</x:v>
      </x:c>
      <x:c r="I20" s="30" t="n">
        <x:f>E20/B20</x:f>
        <x:v>0.4697265625</x:v>
      </x:c>
      <x:c r="J20" s="30" t="n">
        <x:f>F20/B20</x:f>
        <x:v>0.005859375</x:v>
      </x:c>
      <x:c r="K20" s="30" t="n">
        <x:f>H20+I20</x:f>
        <x:v>0.9814453125</x:v>
      </x:c>
      <x:c r="L20" s="30" t="n">
        <x:f>0.5*(ABS(G20)+ABS(H20-0.5)+ABS(I20-0.5)+ABS(J20))</x:f>
        <x:v>0.0302734375</x:v>
      </x:c>
    </x:row>
    <x:row r="21">
      <x:c r="A21" s="29" t="n">
        <x:v>18</x:v>
      </x:c>
      <x:c r="B21" s="29" t="n">
        <x:v>1024</x:v>
      </x:c>
      <x:c r="C21" s="29" t="n">
        <x:v>7</x:v>
      </x:c>
      <x:c r="D21" s="29" t="n">
        <x:v>491</x:v>
      </x:c>
      <x:c r="E21" s="29" t="n">
        <x:v>517</x:v>
      </x:c>
      <x:c r="F21" s="29" t="n">
        <x:v>9</x:v>
      </x:c>
      <x:c r="G21" s="30" t="n">
        <x:f>C21/B21</x:f>
        <x:v>0.0068359375</x:v>
      </x:c>
      <x:c r="H21" s="30" t="n">
        <x:f>D21/B21</x:f>
        <x:v>0.4794921875</x:v>
      </x:c>
      <x:c r="I21" s="30" t="n">
        <x:f>E21/B21</x:f>
        <x:v>0.5048828125</x:v>
      </x:c>
      <x:c r="J21" s="30" t="n">
        <x:f>F21/B21</x:f>
        <x:v>0.0087890625</x:v>
      </x:c>
      <x:c r="K21" s="30" t="n">
        <x:f>H21+I21</x:f>
        <x:v>0.984375</x:v>
      </x:c>
      <x:c r="L21" s="30" t="n">
        <x:f>0.5*(ABS(G21)+ABS(H21-0.5)+ABS(I21-0.5)+ABS(J21))</x:f>
        <x:v>0.0205078125</x:v>
      </x:c>
    </x:row>
    <x:row r="22">
      <x:c r="A22" s="29" t="n">
        <x:v>19</x:v>
      </x:c>
      <x:c r="B22" s="29" t="n">
        <x:v>1024</x:v>
      </x:c>
      <x:c r="C22" s="29" t="n">
        <x:v>13</x:v>
      </x:c>
      <x:c r="D22" s="29" t="n">
        <x:v>483</x:v>
      </x:c>
      <x:c r="E22" s="29" t="n">
        <x:v>521</x:v>
      </x:c>
      <x:c r="F22" s="29" t="n">
        <x:v>7</x:v>
      </x:c>
      <x:c r="G22" s="30" t="n">
        <x:f>C22/B22</x:f>
        <x:v>0.0126953125</x:v>
      </x:c>
      <x:c r="H22" s="30" t="n">
        <x:f>D22/B22</x:f>
        <x:v>0.4716796875</x:v>
      </x:c>
      <x:c r="I22" s="30" t="n">
        <x:f>E22/B22</x:f>
        <x:v>0.5087890625</x:v>
      </x:c>
      <x:c r="J22" s="30" t="n">
        <x:f>F22/B22</x:f>
        <x:v>0.0068359375</x:v>
      </x:c>
      <x:c r="K22" s="30" t="n">
        <x:f>H22+I22</x:f>
        <x:v>0.98046875</x:v>
      </x:c>
      <x:c r="L22" s="30" t="n">
        <x:f>0.5*(ABS(G22)+ABS(H22-0.5)+ABS(I22-0.5)+ABS(J22))</x:f>
        <x:v>0.0283203125</x:v>
      </x:c>
    </x:row>
    <x:row r="23">
      <x:c r="A23" s="29" t="n">
        <x:v>20</x:v>
      </x:c>
      <x:c r="B23" s="29" t="n">
        <x:v>1024</x:v>
      </x:c>
      <x:c r="C23" s="29" t="n">
        <x:v>10</x:v>
      </x:c>
      <x:c r="D23" s="29" t="n">
        <x:v>485</x:v>
      </x:c>
      <x:c r="E23" s="29" t="n">
        <x:v>522</x:v>
      </x:c>
      <x:c r="F23" s="29" t="n">
        <x:v>7</x:v>
      </x:c>
      <x:c r="G23" s="30" t="n">
        <x:f>C23/B23</x:f>
        <x:v>0.009765625</x:v>
      </x:c>
      <x:c r="H23" s="30" t="n">
        <x:f>D23/B23</x:f>
        <x:v>0.4736328125</x:v>
      </x:c>
      <x:c r="I23" s="30" t="n">
        <x:f>E23/B23</x:f>
        <x:v>0.509765625</x:v>
      </x:c>
      <x:c r="J23" s="30" t="n">
        <x:f>F23/B23</x:f>
        <x:v>0.0068359375</x:v>
      </x:c>
      <x:c r="K23" s="30" t="n">
        <x:f>H23+I23</x:f>
        <x:v>0.9833984375</x:v>
      </x:c>
      <x:c r="L23" s="30" t="n">
        <x:f>0.5*(ABS(G23)+ABS(H23-0.5)+ABS(I23-0.5)+ABS(J23))</x:f>
        <x:v>0.0263671875</x:v>
      </x:c>
    </x:row>
    <x:row r="24">
      <x:c r="A24" s="29" t="n">
        <x:v>21</x:v>
      </x:c>
      <x:c r="B24" s="29" t="n">
        <x:v>1024</x:v>
      </x:c>
      <x:c r="C24" s="29" t="n">
        <x:v>7</x:v>
      </x:c>
      <x:c r="D24" s="29" t="n">
        <x:v>503</x:v>
      </x:c>
      <x:c r="E24" s="29" t="n">
        <x:v>504</x:v>
      </x:c>
      <x:c r="F24" s="29" t="n">
        <x:v>10</x:v>
      </x:c>
      <x:c r="G24" s="30" t="n">
        <x:f>C24/B24</x:f>
        <x:v>0.0068359375</x:v>
      </x:c>
      <x:c r="H24" s="30" t="n">
        <x:f>D24/B24</x:f>
        <x:v>0.4912109375</x:v>
      </x:c>
      <x:c r="I24" s="30" t="n">
        <x:f>E24/B24</x:f>
        <x:v>0.4921875</x:v>
      </x:c>
      <x:c r="J24" s="30" t="n">
        <x:f>F24/B24</x:f>
        <x:v>0.009765625</x:v>
      </x:c>
      <x:c r="K24" s="30" t="n">
        <x:f>H24+I24</x:f>
        <x:v>0.9833984375</x:v>
      </x:c>
      <x:c r="L24" s="30" t="n">
        <x:f>0.5*(ABS(G24)+ABS(H24-0.5)+ABS(I24-0.5)+ABS(J24))</x:f>
        <x:v>0.0166015625</x:v>
      </x:c>
    </x:row>
    <x:row r="25">
      <x:c r="A25" s="29" t="n">
        <x:v>22</x:v>
      </x:c>
      <x:c r="B25" s="29" t="n">
        <x:v>1024</x:v>
      </x:c>
      <x:c r="C25" s="29" t="n">
        <x:v>6</x:v>
      </x:c>
      <x:c r="D25" s="29" t="n">
        <x:v>504</x:v>
      </x:c>
      <x:c r="E25" s="29" t="n">
        <x:v>508</x:v>
      </x:c>
      <x:c r="F25" s="29" t="n">
        <x:v>6</x:v>
      </x:c>
      <x:c r="G25" s="30" t="n">
        <x:f>C25/B25</x:f>
        <x:v>0.005859375</x:v>
      </x:c>
      <x:c r="H25" s="30" t="n">
        <x:f>D25/B25</x:f>
        <x:v>0.4921875</x:v>
      </x:c>
      <x:c r="I25" s="30" t="n">
        <x:f>E25/B25</x:f>
        <x:v>0.49609375</x:v>
      </x:c>
      <x:c r="J25" s="30" t="n">
        <x:f>F25/B25</x:f>
        <x:v>0.005859375</x:v>
      </x:c>
      <x:c r="K25" s="30" t="n">
        <x:f>H25+I25</x:f>
        <x:v>0.98828125</x:v>
      </x:c>
      <x:c r="L25" s="30" t="n">
        <x:f>0.5*(ABS(G25)+ABS(H25-0.5)+ABS(I25-0.5)+ABS(J25))</x:f>
        <x:v>0.01171875</x:v>
      </x:c>
    </x:row>
    <x:row r="26">
      <x:c r="A26" s="29" t="n">
        <x:v>23</x:v>
      </x:c>
      <x:c r="B26" s="29" t="n">
        <x:v>1024</x:v>
      </x:c>
      <x:c r="C26" s="29" t="n">
        <x:v>6</x:v>
      </x:c>
      <x:c r="D26" s="29" t="n">
        <x:v>531</x:v>
      </x:c>
      <x:c r="E26" s="29" t="n">
        <x:v>477</x:v>
      </x:c>
      <x:c r="F26" s="29" t="n">
        <x:v>10</x:v>
      </x:c>
      <x:c r="G26" s="30" t="n">
        <x:f>C26/B26</x:f>
        <x:v>0.005859375</x:v>
      </x:c>
      <x:c r="H26" s="30" t="n">
        <x:f>D26/B26</x:f>
        <x:v>0.5185546875</x:v>
      </x:c>
      <x:c r="I26" s="30" t="n">
        <x:f>E26/B26</x:f>
        <x:v>0.4658203125</x:v>
      </x:c>
      <x:c r="J26" s="30" t="n">
        <x:f>F26/B26</x:f>
        <x:v>0.009765625</x:v>
      </x:c>
      <x:c r="K26" s="30" t="n">
        <x:f>H26+I26</x:f>
        <x:v>0.984375</x:v>
      </x:c>
      <x:c r="L26" s="30" t="n">
        <x:f>0.5*(ABS(G26)+ABS(H26-0.5)+ABS(I26-0.5)+ABS(J26))</x:f>
        <x:v>0.0341796875</x:v>
      </x:c>
    </x:row>
    <x:row r="27">
      <x:c r="A27" s="29" t="n">
        <x:v>24</x:v>
      </x:c>
      <x:c r="B27" s="29" t="n">
        <x:v>1024</x:v>
      </x:c>
      <x:c r="C27" s="29" t="n">
        <x:v>7</x:v>
      </x:c>
      <x:c r="D27" s="29" t="n">
        <x:v>489</x:v>
      </x:c>
      <x:c r="E27" s="29" t="n">
        <x:v>522</x:v>
      </x:c>
      <x:c r="F27" s="29" t="n">
        <x:v>6</x:v>
      </x:c>
      <x:c r="G27" s="30" t="n">
        <x:f>C27/B27</x:f>
        <x:v>0.0068359375</x:v>
      </x:c>
      <x:c r="H27" s="30" t="n">
        <x:f>D27/B27</x:f>
        <x:v>0.4775390625</x:v>
      </x:c>
      <x:c r="I27" s="30" t="n">
        <x:f>E27/B27</x:f>
        <x:v>0.509765625</x:v>
      </x:c>
      <x:c r="J27" s="30" t="n">
        <x:f>F27/B27</x:f>
        <x:v>0.005859375</x:v>
      </x:c>
      <x:c r="K27" s="30" t="n">
        <x:f>H27+I27</x:f>
        <x:v>0.9873046875</x:v>
      </x:c>
      <x:c r="L27" s="30" t="n">
        <x:f>0.5*(ABS(G27)+ABS(H27-0.5)+ABS(I27-0.5)+ABS(J27))</x:f>
        <x:v>0.0224609375</x:v>
      </x:c>
    </x:row>
    <x:row r="28">
      <x:c r="A28" s="29" t="n">
        <x:v>25</x:v>
      </x:c>
      <x:c r="B28" s="29" t="n">
        <x:v>1024</x:v>
      </x:c>
      <x:c r="C28" s="29" t="n">
        <x:v>7</x:v>
      </x:c>
      <x:c r="D28" s="29" t="n">
        <x:v>523</x:v>
      </x:c>
      <x:c r="E28" s="29" t="n">
        <x:v>486</x:v>
      </x:c>
      <x:c r="F28" s="29" t="n">
        <x:v>8</x:v>
      </x:c>
      <x:c r="G28" s="30" t="n">
        <x:f>C28/B28</x:f>
        <x:v>0.0068359375</x:v>
      </x:c>
      <x:c r="H28" s="30" t="n">
        <x:f>D28/B28</x:f>
        <x:v>0.5107421875</x:v>
      </x:c>
      <x:c r="I28" s="30" t="n">
        <x:f>E28/B28</x:f>
        <x:v>0.474609375</x:v>
      </x:c>
      <x:c r="J28" s="30" t="n">
        <x:f>F28/B28</x:f>
        <x:v>0.0078125</x:v>
      </x:c>
      <x:c r="K28" s="30" t="n">
        <x:f>H28+I28</x:f>
        <x:v>0.9853515625</x:v>
      </x:c>
      <x:c r="L28" s="30" t="n">
        <x:f>0.5*(ABS(G28)+ABS(H28-0.5)+ABS(I28-0.5)+ABS(J28))</x:f>
        <x:v>0.025390625</x:v>
      </x:c>
    </x:row>
    <x:row r="29">
      <x:c r="A29" s="29" t="n">
        <x:v>26</x:v>
      </x:c>
      <x:c r="B29" s="29" t="n">
        <x:v>1024</x:v>
      </x:c>
      <x:c r="C29" s="29" t="n">
        <x:v>6</x:v>
      </x:c>
      <x:c r="D29" s="29" t="n">
        <x:v>520</x:v>
      </x:c>
      <x:c r="E29" s="29" t="n">
        <x:v>488</x:v>
      </x:c>
      <x:c r="F29" s="29" t="n">
        <x:v>10</x:v>
      </x:c>
      <x:c r="G29" s="30" t="n">
        <x:f>C29/B29</x:f>
        <x:v>0.005859375</x:v>
      </x:c>
      <x:c r="H29" s="30" t="n">
        <x:f>D29/B29</x:f>
        <x:v>0.5078125</x:v>
      </x:c>
      <x:c r="I29" s="30" t="n">
        <x:f>E29/B29</x:f>
        <x:v>0.4765625</x:v>
      </x:c>
      <x:c r="J29" s="30" t="n">
        <x:f>F29/B29</x:f>
        <x:v>0.009765625</x:v>
      </x:c>
      <x:c r="K29" s="30" t="n">
        <x:f>H29+I29</x:f>
        <x:v>0.984375</x:v>
      </x:c>
      <x:c r="L29" s="30" t="n">
        <x:f>0.5*(ABS(G29)+ABS(H29-0.5)+ABS(I29-0.5)+ABS(J29))</x:f>
        <x:v>0.0234375</x:v>
      </x:c>
    </x:row>
    <x:row r="30">
      <x:c r="A30" s="29" t="n">
        <x:v>27</x:v>
      </x:c>
      <x:c r="B30" s="29" t="n">
        <x:v>1024</x:v>
      </x:c>
      <x:c r="C30" s="29" t="n">
        <x:v>12</x:v>
      </x:c>
      <x:c r="D30" s="29" t="n">
        <x:v>506</x:v>
      </x:c>
      <x:c r="E30" s="29" t="n">
        <x:v>503</x:v>
      </x:c>
      <x:c r="F30" s="29" t="n">
        <x:v>3</x:v>
      </x:c>
      <x:c r="G30" s="30" t="n">
        <x:f>C30/B30</x:f>
        <x:v>0.01171875</x:v>
      </x:c>
      <x:c r="H30" s="30" t="n">
        <x:f>D30/B30</x:f>
        <x:v>0.494140625</x:v>
      </x:c>
      <x:c r="I30" s="30" t="n">
        <x:f>E30/B30</x:f>
        <x:v>0.4912109375</x:v>
      </x:c>
      <x:c r="J30" s="30" t="n">
        <x:f>F30/B30</x:f>
        <x:v>0.0029296875</x:v>
      </x:c>
      <x:c r="K30" s="30" t="n">
        <x:f>H30+I30</x:f>
        <x:v>0.9853515625</x:v>
      </x:c>
      <x:c r="L30" s="30" t="n">
        <x:f>0.5*(ABS(G30)+ABS(H30-0.5)+ABS(I30-0.5)+ABS(J30))</x:f>
        <x:v>0.0146484375</x:v>
      </x:c>
    </x:row>
    <x:row r="31">
      <x:c r="A31" s="29" t="n">
        <x:v>28</x:v>
      </x:c>
      <x:c r="B31" s="29" t="n">
        <x:v>1024</x:v>
      </x:c>
      <x:c r="C31" s="29" t="n">
        <x:v>10</x:v>
      </x:c>
      <x:c r="D31" s="29" t="n">
        <x:v>496</x:v>
      </x:c>
      <x:c r="E31" s="29" t="n">
        <x:v>506</x:v>
      </x:c>
      <x:c r="F31" s="29" t="n">
        <x:v>12</x:v>
      </x:c>
      <x:c r="G31" s="30" t="n">
        <x:f>C31/B31</x:f>
        <x:v>0.009765625</x:v>
      </x:c>
      <x:c r="H31" s="30" t="n">
        <x:f>D31/B31</x:f>
        <x:v>0.484375</x:v>
      </x:c>
      <x:c r="I31" s="30" t="n">
        <x:f>E31/B31</x:f>
        <x:v>0.494140625</x:v>
      </x:c>
      <x:c r="J31" s="30" t="n">
        <x:f>F31/B31</x:f>
        <x:v>0.01171875</x:v>
      </x:c>
      <x:c r="K31" s="30" t="n">
        <x:f>H31+I31</x:f>
        <x:v>0.978515625</x:v>
      </x:c>
      <x:c r="L31" s="30" t="n">
        <x:f>0.5*(ABS(G31)+ABS(H31-0.5)+ABS(I31-0.5)+ABS(J31))</x:f>
        <x:v>0.021484375</x:v>
      </x:c>
    </x:row>
    <x:row r="32">
      <x:c r="A32" s="29" t="n">
        <x:v>29</x:v>
      </x:c>
      <x:c r="B32" s="29" t="n">
        <x:v>1024</x:v>
      </x:c>
      <x:c r="C32" s="29" t="n">
        <x:v>8</x:v>
      </x:c>
      <x:c r="D32" s="29" t="n">
        <x:v>495</x:v>
      </x:c>
      <x:c r="E32" s="29" t="n">
        <x:v>512</x:v>
      </x:c>
      <x:c r="F32" s="29" t="n">
        <x:v>9</x:v>
      </x:c>
      <x:c r="G32" s="30" t="n">
        <x:f>C32/B32</x:f>
        <x:v>0.0078125</x:v>
      </x:c>
      <x:c r="H32" s="30" t="n">
        <x:f>D32/B32</x:f>
        <x:v>0.4833984375</x:v>
      </x:c>
      <x:c r="I32" s="30" t="n">
        <x:f>E32/B32</x:f>
        <x:v>0.5</x:v>
      </x:c>
      <x:c r="J32" s="30" t="n">
        <x:f>F32/B32</x:f>
        <x:v>0.0087890625</x:v>
      </x:c>
      <x:c r="K32" s="30" t="n">
        <x:f>H32+I32</x:f>
        <x:v>0.9833984375</x:v>
      </x:c>
      <x:c r="L32" s="30" t="n">
        <x:f>0.5*(ABS(G32)+ABS(H32-0.5)+ABS(I32-0.5)+ABS(J32))</x:f>
        <x:v>0.0166015625</x:v>
      </x:c>
    </x:row>
    <x:row r="33">
      <x:c r="A33" s="29" t="n">
        <x:v>30</x:v>
      </x:c>
      <x:c r="B33" s="29" t="n">
        <x:v>1024</x:v>
      </x:c>
      <x:c r="C33" s="29" t="n">
        <x:v>1</x:v>
      </x:c>
      <x:c r="D33" s="29" t="n">
        <x:v>526</x:v>
      </x:c>
      <x:c r="E33" s="29" t="n">
        <x:v>485</x:v>
      </x:c>
      <x:c r="F33" s="29" t="n">
        <x:v>12</x:v>
      </x:c>
      <x:c r="G33" s="30" t="n">
        <x:f>C33/B33</x:f>
        <x:v>0.0009765625</x:v>
      </x:c>
      <x:c r="H33" s="30" t="n">
        <x:f>D33/B33</x:f>
        <x:v>0.513671875</x:v>
      </x:c>
      <x:c r="I33" s="30" t="n">
        <x:f>E33/B33</x:f>
        <x:v>0.4736328125</x:v>
      </x:c>
      <x:c r="J33" s="30" t="n">
        <x:f>F33/B33</x:f>
        <x:v>0.01171875</x:v>
      </x:c>
      <x:c r="K33" s="30" t="n">
        <x:f>H33+I33</x:f>
        <x:v>0.9873046875</x:v>
      </x:c>
      <x:c r="L33" s="30" t="n">
        <x:f>0.5*(ABS(G33)+ABS(H33-0.5)+ABS(I33-0.5)+ABS(J33))</x:f>
        <x:v>0.0263671875</x:v>
      </x:c>
    </x:row>
    <x:row r="34">
      <x:c r="A34" s="29" t="n">
        <x:v>31</x:v>
      </x:c>
      <x:c r="B34" s="29" t="n">
        <x:v>1024</x:v>
      </x:c>
      <x:c r="C34" s="29" t="n">
        <x:v>4</x:v>
      </x:c>
      <x:c r="D34" s="29" t="n">
        <x:v>503</x:v>
      </x:c>
      <x:c r="E34" s="29" t="n">
        <x:v>511</x:v>
      </x:c>
      <x:c r="F34" s="29" t="n">
        <x:v>6</x:v>
      </x:c>
      <x:c r="G34" s="30" t="n">
        <x:f>C34/B34</x:f>
        <x:v>0.00390625</x:v>
      </x:c>
      <x:c r="H34" s="30" t="n">
        <x:f>D34/B34</x:f>
        <x:v>0.4912109375</x:v>
      </x:c>
      <x:c r="I34" s="30" t="n">
        <x:f>E34/B34</x:f>
        <x:v>0.4990234375</x:v>
      </x:c>
      <x:c r="J34" s="30" t="n">
        <x:f>F34/B34</x:f>
        <x:v>0.005859375</x:v>
      </x:c>
      <x:c r="K34" s="30" t="n">
        <x:f>H34+I34</x:f>
        <x:v>0.990234375</x:v>
      </x:c>
      <x:c r="L34" s="30" t="n">
        <x:f>0.5*(ABS(G34)+ABS(H34-0.5)+ABS(I34-0.5)+ABS(J34))</x:f>
        <x:v>0.009765625</x:v>
      </x:c>
    </x:row>
    <x:row r="35">
      <x:c r="A35" s="29" t="n">
        <x:v>32</x:v>
      </x:c>
      <x:c r="B35" s="29" t="n">
        <x:v>1024</x:v>
      </x:c>
      <x:c r="C35" s="29" t="n">
        <x:v>9</x:v>
      </x:c>
      <x:c r="D35" s="29" t="n">
        <x:v>480</x:v>
      </x:c>
      <x:c r="E35" s="29" t="n">
        <x:v>528</x:v>
      </x:c>
      <x:c r="F35" s="29" t="n">
        <x:v>7</x:v>
      </x:c>
      <x:c r="G35" s="30" t="n">
        <x:f>C35/B35</x:f>
        <x:v>0.0087890625</x:v>
      </x:c>
      <x:c r="H35" s="30" t="n">
        <x:f>D35/B35</x:f>
        <x:v>0.46875</x:v>
      </x:c>
      <x:c r="I35" s="30" t="n">
        <x:f>E35/B35</x:f>
        <x:v>0.515625</x:v>
      </x:c>
      <x:c r="J35" s="30" t="n">
        <x:f>F35/B35</x:f>
        <x:v>0.0068359375</x:v>
      </x:c>
      <x:c r="K35" s="30" t="n">
        <x:f>H35+I35</x:f>
        <x:v>0.984375</x:v>
      </x:c>
      <x:c r="L35" s="30" t="n">
        <x:f>0.5*(ABS(G35)+ABS(H35-0.5)+ABS(I35-0.5)+ABS(J35))</x:f>
        <x:v>0.03125</x:v>
      </x:c>
    </x:row>
    <x:row r="36">
      <x:c r="A36" s="29" t="n">
        <x:v>33</x:v>
      </x:c>
      <x:c r="B36" s="29" t="n">
        <x:v>1024</x:v>
      </x:c>
      <x:c r="C36" s="29" t="n">
        <x:v>9</x:v>
      </x:c>
      <x:c r="D36" s="29" t="n">
        <x:v>460</x:v>
      </x:c>
      <x:c r="E36" s="29" t="n">
        <x:v>546</x:v>
      </x:c>
      <x:c r="F36" s="29" t="n">
        <x:v>9</x:v>
      </x:c>
      <x:c r="G36" s="30" t="n">
        <x:f>C36/B36</x:f>
        <x:v>0.0087890625</x:v>
      </x:c>
      <x:c r="H36" s="30" t="n">
        <x:f>D36/B36</x:f>
        <x:v>0.44921875</x:v>
      </x:c>
      <x:c r="I36" s="30" t="n">
        <x:f>E36/B36</x:f>
        <x:v>0.533203125</x:v>
      </x:c>
      <x:c r="J36" s="30" t="n">
        <x:f>F36/B36</x:f>
        <x:v>0.0087890625</x:v>
      </x:c>
      <x:c r="K36" s="30" t="n">
        <x:f>H36+I36</x:f>
        <x:v>0.982421875</x:v>
      </x:c>
      <x:c r="L36" s="30" t="n">
        <x:f>0.5*(ABS(G36)+ABS(H36-0.5)+ABS(I36-0.5)+ABS(J36))</x:f>
        <x:v>0.05078125</x:v>
      </x:c>
    </x:row>
    <x:row r="37">
      <x:c r="A37" s="29" t="n">
        <x:v>34</x:v>
      </x:c>
      <x:c r="B37" s="29" t="n">
        <x:v>1024</x:v>
      </x:c>
      <x:c r="C37" s="29" t="n">
        <x:v>8</x:v>
      </x:c>
      <x:c r="D37" s="29" t="n">
        <x:v>506</x:v>
      </x:c>
      <x:c r="E37" s="29" t="n">
        <x:v>503</x:v>
      </x:c>
      <x:c r="F37" s="29" t="n">
        <x:v>7</x:v>
      </x:c>
      <x:c r="G37" s="30" t="n">
        <x:f>C37/B37</x:f>
        <x:v>0.0078125</x:v>
      </x:c>
      <x:c r="H37" s="30" t="n">
        <x:f>D37/B37</x:f>
        <x:v>0.494140625</x:v>
      </x:c>
      <x:c r="I37" s="30" t="n">
        <x:f>E37/B37</x:f>
        <x:v>0.4912109375</x:v>
      </x:c>
      <x:c r="J37" s="30" t="n">
        <x:f>F37/B37</x:f>
        <x:v>0.0068359375</x:v>
      </x:c>
      <x:c r="K37" s="30" t="n">
        <x:f>H37+I37</x:f>
        <x:v>0.9853515625</x:v>
      </x:c>
      <x:c r="L37" s="30" t="n">
        <x:f>0.5*(ABS(G37)+ABS(H37-0.5)+ABS(I37-0.5)+ABS(J37))</x:f>
        <x:v>0.0146484375</x:v>
      </x:c>
    </x:row>
    <x:row r="38">
      <x:c r="A38" s="29" t="n">
        <x:v>35</x:v>
      </x:c>
      <x:c r="B38" s="29" t="n">
        <x:v>1024</x:v>
      </x:c>
      <x:c r="C38" s="29" t="n">
        <x:v>6</x:v>
      </x:c>
      <x:c r="D38" s="29" t="n">
        <x:v>510</x:v>
      </x:c>
      <x:c r="E38" s="29" t="n">
        <x:v>501</x:v>
      </x:c>
      <x:c r="F38" s="29" t="n">
        <x:v>7</x:v>
      </x:c>
      <x:c r="G38" s="30" t="n">
        <x:f>C38/B38</x:f>
        <x:v>0.005859375</x:v>
      </x:c>
      <x:c r="H38" s="30" t="n">
        <x:f>D38/B38</x:f>
        <x:v>0.498046875</x:v>
      </x:c>
      <x:c r="I38" s="30" t="n">
        <x:f>E38/B38</x:f>
        <x:v>0.4892578125</x:v>
      </x:c>
      <x:c r="J38" s="30" t="n">
        <x:f>F38/B38</x:f>
        <x:v>0.0068359375</x:v>
      </x:c>
      <x:c r="K38" s="30" t="n">
        <x:f>H38+I38</x:f>
        <x:v>0.9873046875</x:v>
      </x:c>
      <x:c r="L38" s="30" t="n">
        <x:f>0.5*(ABS(G38)+ABS(H38-0.5)+ABS(I38-0.5)+ABS(J38))</x:f>
        <x:v>0.0126953125</x:v>
      </x:c>
    </x:row>
    <x:row r="39">
      <x:c r="A39" s="29" t="n">
        <x:v>36</x:v>
      </x:c>
      <x:c r="B39" s="29" t="n">
        <x:v>1024</x:v>
      </x:c>
      <x:c r="C39" s="29" t="n">
        <x:v>9</x:v>
      </x:c>
      <x:c r="D39" s="29" t="n">
        <x:v>519</x:v>
      </x:c>
      <x:c r="E39" s="29" t="n">
        <x:v>488</x:v>
      </x:c>
      <x:c r="F39" s="29" t="n">
        <x:v>8</x:v>
      </x:c>
      <x:c r="G39" s="30" t="n">
        <x:f>C39/B39</x:f>
        <x:v>0.0087890625</x:v>
      </x:c>
      <x:c r="H39" s="30" t="n">
        <x:f>D39/B39</x:f>
        <x:v>0.5068359375</x:v>
      </x:c>
      <x:c r="I39" s="30" t="n">
        <x:f>E39/B39</x:f>
        <x:v>0.4765625</x:v>
      </x:c>
      <x:c r="J39" s="30" t="n">
        <x:f>F39/B39</x:f>
        <x:v>0.0078125</x:v>
      </x:c>
      <x:c r="K39" s="30" t="n">
        <x:f>H39+I39</x:f>
        <x:v>0.9833984375</x:v>
      </x:c>
      <x:c r="L39" s="30" t="n">
        <x:f>0.5*(ABS(G39)+ABS(H39-0.5)+ABS(I39-0.5)+ABS(J39))</x:f>
        <x:v>0.0234375</x:v>
      </x:c>
    </x:row>
    <x:row r="40">
      <x:c r="A40" s="29" t="n">
        <x:v>37</x:v>
      </x:c>
      <x:c r="B40" s="29" t="n">
        <x:v>1024</x:v>
      </x:c>
      <x:c r="C40" s="29" t="n">
        <x:v>11</x:v>
      </x:c>
      <x:c r="D40" s="29" t="n">
        <x:v>509</x:v>
      </x:c>
      <x:c r="E40" s="29" t="n">
        <x:v>492</x:v>
      </x:c>
      <x:c r="F40" s="29" t="n">
        <x:v>12</x:v>
      </x:c>
      <x:c r="G40" s="30" t="n">
        <x:f>C40/B40</x:f>
        <x:v>0.0107421875</x:v>
      </x:c>
      <x:c r="H40" s="30" t="n">
        <x:f>D40/B40</x:f>
        <x:v>0.4970703125</x:v>
      </x:c>
      <x:c r="I40" s="30" t="n">
        <x:f>E40/B40</x:f>
        <x:v>0.48046875</x:v>
      </x:c>
      <x:c r="J40" s="30" t="n">
        <x:f>F40/B40</x:f>
        <x:v>0.01171875</x:v>
      </x:c>
      <x:c r="K40" s="30" t="n">
        <x:f>H40+I40</x:f>
        <x:v>0.9775390625</x:v>
      </x:c>
      <x:c r="L40" s="30" t="n">
        <x:f>0.5*(ABS(G40)+ABS(H40-0.5)+ABS(I40-0.5)+ABS(J40))</x:f>
        <x:v>0.0224609375</x:v>
      </x:c>
    </x:row>
    <x:row r="41">
      <x:c r="A41" s="29" t="n">
        <x:v>38</x:v>
      </x:c>
      <x:c r="B41" s="29" t="n">
        <x:v>1024</x:v>
      </x:c>
      <x:c r="C41" s="29" t="n">
        <x:v>2</x:v>
      </x:c>
      <x:c r="D41" s="29" t="n">
        <x:v>500</x:v>
      </x:c>
      <x:c r="E41" s="29" t="n">
        <x:v>508</x:v>
      </x:c>
      <x:c r="F41" s="29" t="n">
        <x:v>14</x:v>
      </x:c>
      <x:c r="G41" s="30" t="n">
        <x:f>C41/B41</x:f>
        <x:v>0.001953125</x:v>
      </x:c>
      <x:c r="H41" s="30" t="n">
        <x:f>D41/B41</x:f>
        <x:v>0.48828125</x:v>
      </x:c>
      <x:c r="I41" s="30" t="n">
        <x:f>E41/B41</x:f>
        <x:v>0.49609375</x:v>
      </x:c>
      <x:c r="J41" s="30" t="n">
        <x:f>F41/B41</x:f>
        <x:v>0.013671875</x:v>
      </x:c>
      <x:c r="K41" s="30" t="n">
        <x:f>H41+I41</x:f>
        <x:v>0.984375</x:v>
      </x:c>
      <x:c r="L41" s="30" t="n">
        <x:f>0.5*(ABS(G41)+ABS(H41-0.5)+ABS(I41-0.5)+ABS(J41))</x:f>
        <x:v>0.015625</x:v>
      </x:c>
    </x:row>
    <x:row r="42">
      <x:c r="A42" s="29" t="n">
        <x:v>39</x:v>
      </x:c>
      <x:c r="B42" s="29" t="n">
        <x:v>1024</x:v>
      </x:c>
      <x:c r="C42" s="29" t="n">
        <x:v>12</x:v>
      </x:c>
      <x:c r="D42" s="29" t="n">
        <x:v>502</x:v>
      </x:c>
      <x:c r="E42" s="29" t="n">
        <x:v>500</x:v>
      </x:c>
      <x:c r="F42" s="29" t="n">
        <x:v>10</x:v>
      </x:c>
      <x:c r="G42" s="30" t="n">
        <x:f>C42/B42</x:f>
        <x:v>0.01171875</x:v>
      </x:c>
      <x:c r="H42" s="30" t="n">
        <x:f>D42/B42</x:f>
        <x:v>0.490234375</x:v>
      </x:c>
      <x:c r="I42" s="30" t="n">
        <x:f>E42/B42</x:f>
        <x:v>0.48828125</x:v>
      </x:c>
      <x:c r="J42" s="30" t="n">
        <x:f>F42/B42</x:f>
        <x:v>0.009765625</x:v>
      </x:c>
      <x:c r="K42" s="30" t="n">
        <x:f>H42+I42</x:f>
        <x:v>0.978515625</x:v>
      </x:c>
      <x:c r="L42" s="30" t="n">
        <x:f>0.5*(ABS(G42)+ABS(H42-0.5)+ABS(I42-0.5)+ABS(J42))</x:f>
        <x:v>0.021484375</x:v>
      </x:c>
    </x:row>
    <x:row r="43">
      <x:c r="A43" s="29" t="n">
        <x:v>40</x:v>
      </x:c>
      <x:c r="B43" s="29" t="n">
        <x:v>1024</x:v>
      </x:c>
      <x:c r="C43" s="29" t="n">
        <x:v>9</x:v>
      </x:c>
      <x:c r="D43" s="29" t="n">
        <x:v>499</x:v>
      </x:c>
      <x:c r="E43" s="29" t="n">
        <x:v>509</x:v>
      </x:c>
      <x:c r="F43" s="29" t="n">
        <x:v>7</x:v>
      </x:c>
      <x:c r="G43" s="30" t="n">
        <x:f>C43/B43</x:f>
        <x:v>0.0087890625</x:v>
      </x:c>
      <x:c r="H43" s="30" t="n">
        <x:f>D43/B43</x:f>
        <x:v>0.4873046875</x:v>
      </x:c>
      <x:c r="I43" s="30" t="n">
        <x:f>E43/B43</x:f>
        <x:v>0.4970703125</x:v>
      </x:c>
      <x:c r="J43" s="30" t="n">
        <x:f>F43/B43</x:f>
        <x:v>0.0068359375</x:v>
      </x:c>
      <x:c r="K43" s="30" t="n">
        <x:f>H43+I43</x:f>
        <x:v>0.984375</x:v>
      </x:c>
      <x:c r="L43" s="30" t="n">
        <x:f>0.5*(ABS(G43)+ABS(H43-0.5)+ABS(I43-0.5)+ABS(J43))</x:f>
        <x:v>0.015625</x:v>
      </x:c>
    </x:row>
    <x:row r="44">
      <x:c r="A44" s="29" t="n">
        <x:v>41</x:v>
      </x:c>
      <x:c r="B44" s="29" t="n">
        <x:v>1024</x:v>
      </x:c>
      <x:c r="C44" s="29" t="n">
        <x:v>9</x:v>
      </x:c>
      <x:c r="D44" s="29" t="n">
        <x:v>492</x:v>
      </x:c>
      <x:c r="E44" s="29" t="n">
        <x:v>517</x:v>
      </x:c>
      <x:c r="F44" s="29" t="n">
        <x:v>6</x:v>
      </x:c>
      <x:c r="G44" s="30" t="n">
        <x:f>C44/B44</x:f>
        <x:v>0.0087890625</x:v>
      </x:c>
      <x:c r="H44" s="30" t="n">
        <x:f>D44/B44</x:f>
        <x:v>0.48046875</x:v>
      </x:c>
      <x:c r="I44" s="30" t="n">
        <x:f>E44/B44</x:f>
        <x:v>0.5048828125</x:v>
      </x:c>
      <x:c r="J44" s="30" t="n">
        <x:f>F44/B44</x:f>
        <x:v>0.005859375</x:v>
      </x:c>
      <x:c r="K44" s="30" t="n">
        <x:f>H44+I44</x:f>
        <x:v>0.9853515625</x:v>
      </x:c>
      <x:c r="L44" s="30" t="n">
        <x:f>0.5*(ABS(G44)+ABS(H44-0.5)+ABS(I44-0.5)+ABS(J44))</x:f>
        <x:v>0.01953125</x:v>
      </x:c>
    </x:row>
    <x:row r="45">
      <x:c r="A45" s="29" t="n">
        <x:v>42</x:v>
      </x:c>
      <x:c r="B45" s="29" t="n">
        <x:v>1024</x:v>
      </x:c>
      <x:c r="C45" s="29" t="n">
        <x:v>6</x:v>
      </x:c>
      <x:c r="D45" s="29" t="n">
        <x:v>539</x:v>
      </x:c>
      <x:c r="E45" s="29" t="n">
        <x:v>470</x:v>
      </x:c>
      <x:c r="F45" s="29" t="n">
        <x:v>9</x:v>
      </x:c>
      <x:c r="G45" s="30" t="n">
        <x:f>C45/B45</x:f>
        <x:v>0.005859375</x:v>
      </x:c>
      <x:c r="H45" s="30" t="n">
        <x:f>D45/B45</x:f>
        <x:v>0.5263671875</x:v>
      </x:c>
      <x:c r="I45" s="30" t="n">
        <x:f>E45/B45</x:f>
        <x:v>0.458984375</x:v>
      </x:c>
      <x:c r="J45" s="30" t="n">
        <x:f>F45/B45</x:f>
        <x:v>0.0087890625</x:v>
      </x:c>
      <x:c r="K45" s="30" t="n">
        <x:f>H45+I45</x:f>
        <x:v>0.9853515625</x:v>
      </x:c>
      <x:c r="L45" s="30" t="n">
        <x:f>0.5*(ABS(G45)+ABS(H45-0.5)+ABS(I45-0.5)+ABS(J45))</x:f>
        <x:v>0.041015625</x:v>
      </x:c>
    </x:row>
    <x:row r="46">
      <x:c r="A46" s="29" t="n">
        <x:v>43</x:v>
      </x:c>
      <x:c r="B46" s="29" t="n">
        <x:v>1024</x:v>
      </x:c>
      <x:c r="C46" s="29" t="n">
        <x:v>5</x:v>
      </x:c>
      <x:c r="D46" s="29" t="n">
        <x:v>507</x:v>
      </x:c>
      <x:c r="E46" s="29" t="n">
        <x:v>503</x:v>
      </x:c>
      <x:c r="F46" s="29" t="n">
        <x:v>9</x:v>
      </x:c>
      <x:c r="G46" s="30" t="n">
        <x:f>C46/B46</x:f>
        <x:v>0.0048828125</x:v>
      </x:c>
      <x:c r="H46" s="30" t="n">
        <x:f>D46/B46</x:f>
        <x:v>0.4951171875</x:v>
      </x:c>
      <x:c r="I46" s="30" t="n">
        <x:f>E46/B46</x:f>
        <x:v>0.4912109375</x:v>
      </x:c>
      <x:c r="J46" s="30" t="n">
        <x:f>F46/B46</x:f>
        <x:v>0.0087890625</x:v>
      </x:c>
      <x:c r="K46" s="30" t="n">
        <x:f>H46+I46</x:f>
        <x:v>0.986328125</x:v>
      </x:c>
      <x:c r="L46" s="30" t="n">
        <x:f>0.5*(ABS(G46)+ABS(H46-0.5)+ABS(I46-0.5)+ABS(J46))</x:f>
        <x:v>0.013671875</x:v>
      </x:c>
    </x:row>
    <x:row r="47">
      <x:c r="A47" s="29" t="n">
        <x:v>44</x:v>
      </x:c>
      <x:c r="B47" s="29" t="n">
        <x:v>1024</x:v>
      </x:c>
      <x:c r="C47" s="29" t="n">
        <x:v>11</x:v>
      </x:c>
      <x:c r="D47" s="29" t="n">
        <x:v>498</x:v>
      </x:c>
      <x:c r="E47" s="29" t="n">
        <x:v>505</x:v>
      </x:c>
      <x:c r="F47" s="29" t="n">
        <x:v>10</x:v>
      </x:c>
      <x:c r="G47" s="30" t="n">
        <x:f>C47/B47</x:f>
        <x:v>0.0107421875</x:v>
      </x:c>
      <x:c r="H47" s="30" t="n">
        <x:f>D47/B47</x:f>
        <x:v>0.486328125</x:v>
      </x:c>
      <x:c r="I47" s="30" t="n">
        <x:f>E47/B47</x:f>
        <x:v>0.4931640625</x:v>
      </x:c>
      <x:c r="J47" s="30" t="n">
        <x:f>F47/B47</x:f>
        <x:v>0.009765625</x:v>
      </x:c>
      <x:c r="K47" s="30" t="n">
        <x:f>H47+I47</x:f>
        <x:v>0.9794921875</x:v>
      </x:c>
      <x:c r="L47" s="30" t="n">
        <x:f>0.5*(ABS(G47)+ABS(H47-0.5)+ABS(I47-0.5)+ABS(J47))</x:f>
        <x:v>0.0205078125</x:v>
      </x:c>
    </x:row>
    <x:row r="48">
      <x:c r="A48" s="29" t="n">
        <x:v>45</x:v>
      </x:c>
      <x:c r="B48" s="29" t="n">
        <x:v>1024</x:v>
      </x:c>
      <x:c r="C48" s="29" t="n">
        <x:v>9</x:v>
      </x:c>
      <x:c r="D48" s="29" t="n">
        <x:v>505</x:v>
      </x:c>
      <x:c r="E48" s="29" t="n">
        <x:v>503</x:v>
      </x:c>
      <x:c r="F48" s="29" t="n">
        <x:v>7</x:v>
      </x:c>
      <x:c r="G48" s="30" t="n">
        <x:f>C48/B48</x:f>
        <x:v>0.0087890625</x:v>
      </x:c>
      <x:c r="H48" s="30" t="n">
        <x:f>D48/B48</x:f>
        <x:v>0.4931640625</x:v>
      </x:c>
      <x:c r="I48" s="30" t="n">
        <x:f>E48/B48</x:f>
        <x:v>0.4912109375</x:v>
      </x:c>
      <x:c r="J48" s="30" t="n">
        <x:f>F48/B48</x:f>
        <x:v>0.0068359375</x:v>
      </x:c>
      <x:c r="K48" s="30" t="n">
        <x:f>H48+I48</x:f>
        <x:v>0.984375</x:v>
      </x:c>
      <x:c r="L48" s="30" t="n">
        <x:f>0.5*(ABS(G48)+ABS(H48-0.5)+ABS(I48-0.5)+ABS(J48))</x:f>
        <x:v>0.015625</x:v>
      </x:c>
    </x:row>
    <x:row r="49">
      <x:c r="A49" s="29" t="n">
        <x:v>46</x:v>
      </x:c>
      <x:c r="B49" s="29" t="n">
        <x:v>1024</x:v>
      </x:c>
      <x:c r="C49" s="29" t="n">
        <x:v>8</x:v>
      </x:c>
      <x:c r="D49" s="29" t="n">
        <x:v>516</x:v>
      </x:c>
      <x:c r="E49" s="29" t="n">
        <x:v>491</x:v>
      </x:c>
      <x:c r="F49" s="29" t="n">
        <x:v>9</x:v>
      </x:c>
      <x:c r="G49" s="30" t="n">
        <x:f>C49/B49</x:f>
        <x:v>0.0078125</x:v>
      </x:c>
      <x:c r="H49" s="30" t="n">
        <x:f>D49/B49</x:f>
        <x:v>0.50390625</x:v>
      </x:c>
      <x:c r="I49" s="30" t="n">
        <x:f>E49/B49</x:f>
        <x:v>0.4794921875</x:v>
      </x:c>
      <x:c r="J49" s="30" t="n">
        <x:f>F49/B49</x:f>
        <x:v>0.0087890625</x:v>
      </x:c>
      <x:c r="K49" s="30" t="n">
        <x:f>H49+I49</x:f>
        <x:v>0.9833984375</x:v>
      </x:c>
      <x:c r="L49" s="30" t="n">
        <x:f>0.5*(ABS(G49)+ABS(H49-0.5)+ABS(I49-0.5)+ABS(J49))</x:f>
        <x:v>0.0205078125</x:v>
      </x:c>
    </x:row>
    <x:row r="50">
      <x:c r="A50" s="29" t="n">
        <x:v>47</x:v>
      </x:c>
      <x:c r="B50" s="29" t="n">
        <x:v>1024</x:v>
      </x:c>
      <x:c r="C50" s="29" t="n">
        <x:v>7</x:v>
      </x:c>
      <x:c r="D50" s="29" t="n">
        <x:v>508</x:v>
      </x:c>
      <x:c r="E50" s="29" t="n">
        <x:v>502</x:v>
      </x:c>
      <x:c r="F50" s="29" t="n">
        <x:v>7</x:v>
      </x:c>
      <x:c r="G50" s="30" t="n">
        <x:f>C50/B50</x:f>
        <x:v>0.0068359375</x:v>
      </x:c>
      <x:c r="H50" s="30" t="n">
        <x:f>D50/B50</x:f>
        <x:v>0.49609375</x:v>
      </x:c>
      <x:c r="I50" s="30" t="n">
        <x:f>E50/B50</x:f>
        <x:v>0.490234375</x:v>
      </x:c>
      <x:c r="J50" s="30" t="n">
        <x:f>F50/B50</x:f>
        <x:v>0.0068359375</x:v>
      </x:c>
      <x:c r="K50" s="30" t="n">
        <x:f>H50+I50</x:f>
        <x:v>0.986328125</x:v>
      </x:c>
      <x:c r="L50" s="30" t="n">
        <x:f>0.5*(ABS(G50)+ABS(H50-0.5)+ABS(I50-0.5)+ABS(J50))</x:f>
        <x:v>0.013671875</x:v>
      </x:c>
    </x:row>
    <x:row r="51">
      <x:c r="A51" s="29" t="n">
        <x:v>48</x:v>
      </x:c>
      <x:c r="B51" s="29" t="n">
        <x:v>1024</x:v>
      </x:c>
      <x:c r="C51" s="29" t="n">
        <x:v>10</x:v>
      </x:c>
      <x:c r="D51" s="29" t="n">
        <x:v>487</x:v>
      </x:c>
      <x:c r="E51" s="29" t="n">
        <x:v>517</x:v>
      </x:c>
      <x:c r="F51" s="29" t="n">
        <x:v>10</x:v>
      </x:c>
      <x:c r="G51" s="30" t="n">
        <x:f>C51/B51</x:f>
        <x:v>0.009765625</x:v>
      </x:c>
      <x:c r="H51" s="30" t="n">
        <x:f>D51/B51</x:f>
        <x:v>0.4755859375</x:v>
      </x:c>
      <x:c r="I51" s="30" t="n">
        <x:f>E51/B51</x:f>
        <x:v>0.5048828125</x:v>
      </x:c>
      <x:c r="J51" s="30" t="n">
        <x:f>F51/B51</x:f>
        <x:v>0.009765625</x:v>
      </x:c>
      <x:c r="K51" s="30" t="n">
        <x:f>H51+I51</x:f>
        <x:v>0.98046875</x:v>
      </x:c>
      <x:c r="L51" s="30" t="n">
        <x:f>0.5*(ABS(G51)+ABS(H51-0.5)+ABS(I51-0.5)+ABS(J51))</x:f>
        <x:v>0.0244140625</x:v>
      </x:c>
    </x:row>
    <x:row r="52">
      <x:c r="A52" s="29" t="n">
        <x:v>49</x:v>
      </x:c>
      <x:c r="B52" s="29" t="n">
        <x:v>1024</x:v>
      </x:c>
      <x:c r="C52" s="29" t="n">
        <x:v>10</x:v>
      </x:c>
      <x:c r="D52" s="29" t="n">
        <x:v>504</x:v>
      </x:c>
      <x:c r="E52" s="29" t="n">
        <x:v>502</x:v>
      </x:c>
      <x:c r="F52" s="29" t="n">
        <x:v>8</x:v>
      </x:c>
      <x:c r="G52" s="30" t="n">
        <x:f>C52/B52</x:f>
        <x:v>0.009765625</x:v>
      </x:c>
      <x:c r="H52" s="30" t="n">
        <x:f>D52/B52</x:f>
        <x:v>0.4921875</x:v>
      </x:c>
      <x:c r="I52" s="30" t="n">
        <x:f>E52/B52</x:f>
        <x:v>0.490234375</x:v>
      </x:c>
      <x:c r="J52" s="30" t="n">
        <x:f>F52/B52</x:f>
        <x:v>0.0078125</x:v>
      </x:c>
      <x:c r="K52" s="30" t="n">
        <x:f>H52+I52</x:f>
        <x:v>0.982421875</x:v>
      </x:c>
      <x:c r="L52" s="30" t="n">
        <x:f>0.5*(ABS(G52)+ABS(H52-0.5)+ABS(I52-0.5)+ABS(J52))</x:f>
        <x:v>0.017578125</x:v>
      </x:c>
    </x:row>
    <x:row r="53">
      <x:c r="A53" s="29" t="n">
        <x:v>50</x:v>
      </x:c>
      <x:c r="B53" s="29" t="n">
        <x:v>1024</x:v>
      </x:c>
      <x:c r="C53" s="29" t="n">
        <x:v>9</x:v>
      </x:c>
      <x:c r="D53" s="29" t="n">
        <x:v>494</x:v>
      </x:c>
      <x:c r="E53" s="29" t="n">
        <x:v>510</x:v>
      </x:c>
      <x:c r="F53" s="29" t="n">
        <x:v>11</x:v>
      </x:c>
      <x:c r="G53" s="30" t="n">
        <x:f>C53/B53</x:f>
        <x:v>0.0087890625</x:v>
      </x:c>
      <x:c r="H53" s="30" t="n">
        <x:f>D53/B53</x:f>
        <x:v>0.482421875</x:v>
      </x:c>
      <x:c r="I53" s="30" t="n">
        <x:f>E53/B53</x:f>
        <x:v>0.498046875</x:v>
      </x:c>
      <x:c r="J53" s="30" t="n">
        <x:f>F53/B53</x:f>
        <x:v>0.0107421875</x:v>
      </x:c>
      <x:c r="K53" s="30" t="n">
        <x:f>H53+I53</x:f>
        <x:v>0.98046875</x:v>
      </x:c>
      <x:c r="L53" s="30" t="n">
        <x:f>0.5*(ABS(G53)+ABS(H53-0.5)+ABS(I53-0.5)+ABS(J53))</x:f>
        <x:v>0.01953125</x:v>
      </x:c>
    </x:row>
    <x:row r="54">
      <x:c r="A54" s="29" t="n">
        <x:v>51</x:v>
      </x:c>
      <x:c r="B54" s="29" t="n">
        <x:v>1024</x:v>
      </x:c>
      <x:c r="C54" s="29" t="n">
        <x:v>4</x:v>
      </x:c>
      <x:c r="D54" s="29" t="n">
        <x:v>485</x:v>
      </x:c>
      <x:c r="E54" s="29" t="n">
        <x:v>523</x:v>
      </x:c>
      <x:c r="F54" s="29" t="n">
        <x:v>12</x:v>
      </x:c>
      <x:c r="G54" s="30" t="n">
        <x:f>C54/B54</x:f>
        <x:v>0.00390625</x:v>
      </x:c>
      <x:c r="H54" s="30" t="n">
        <x:f>D54/B54</x:f>
        <x:v>0.4736328125</x:v>
      </x:c>
      <x:c r="I54" s="30" t="n">
        <x:f>E54/B54</x:f>
        <x:v>0.5107421875</x:v>
      </x:c>
      <x:c r="J54" s="30" t="n">
        <x:f>F54/B54</x:f>
        <x:v>0.01171875</x:v>
      </x:c>
      <x:c r="K54" s="30" t="n">
        <x:f>H54+I54</x:f>
        <x:v>0.984375</x:v>
      </x:c>
      <x:c r="L54" s="30" t="n">
        <x:f>0.5*(ABS(G54)+ABS(H54-0.5)+ABS(I54-0.5)+ABS(J54))</x:f>
        <x:v>0.0263671875</x:v>
      </x:c>
    </x:row>
    <x:row r="55">
      <x:c r="A55" s="29" t="n">
        <x:v>52</x:v>
      </x:c>
      <x:c r="B55" s="29" t="n">
        <x:v>1024</x:v>
      </x:c>
      <x:c r="C55" s="29" t="n">
        <x:v>11</x:v>
      </x:c>
      <x:c r="D55" s="29" t="n">
        <x:v>531</x:v>
      </x:c>
      <x:c r="E55" s="29" t="n">
        <x:v>473</x:v>
      </x:c>
      <x:c r="F55" s="29" t="n">
        <x:v>9</x:v>
      </x:c>
      <x:c r="G55" s="30" t="n">
        <x:f>C55/B55</x:f>
        <x:v>0.0107421875</x:v>
      </x:c>
      <x:c r="H55" s="30" t="n">
        <x:f>D55/B55</x:f>
        <x:v>0.5185546875</x:v>
      </x:c>
      <x:c r="I55" s="30" t="n">
        <x:f>E55/B55</x:f>
        <x:v>0.4619140625</x:v>
      </x:c>
      <x:c r="J55" s="30" t="n">
        <x:f>F55/B55</x:f>
        <x:v>0.0087890625</x:v>
      </x:c>
      <x:c r="K55" s="30" t="n">
        <x:f>H55+I55</x:f>
        <x:v>0.98046875</x:v>
      </x:c>
      <x:c r="L55" s="30" t="n">
        <x:f>0.5*(ABS(G55)+ABS(H55-0.5)+ABS(I55-0.5)+ABS(J55))</x:f>
        <x:v>0.0380859375</x:v>
      </x:c>
    </x:row>
    <x:row r="56">
      <x:c r="A56" s="29" t="n">
        <x:v>53</x:v>
      </x:c>
      <x:c r="B56" s="29" t="n">
        <x:v>1024</x:v>
      </x:c>
      <x:c r="C56" s="29" t="n">
        <x:v>8</x:v>
      </x:c>
      <x:c r="D56" s="29" t="n">
        <x:v>505</x:v>
      </x:c>
      <x:c r="E56" s="29" t="n">
        <x:v>501</x:v>
      </x:c>
      <x:c r="F56" s="29" t="n">
        <x:v>10</x:v>
      </x:c>
      <x:c r="G56" s="30" t="n">
        <x:f>C56/B56</x:f>
        <x:v>0.0078125</x:v>
      </x:c>
      <x:c r="H56" s="30" t="n">
        <x:f>D56/B56</x:f>
        <x:v>0.4931640625</x:v>
      </x:c>
      <x:c r="I56" s="30" t="n">
        <x:f>E56/B56</x:f>
        <x:v>0.4892578125</x:v>
      </x:c>
      <x:c r="J56" s="30" t="n">
        <x:f>F56/B56</x:f>
        <x:v>0.009765625</x:v>
      </x:c>
      <x:c r="K56" s="30" t="n">
        <x:f>H56+I56</x:f>
        <x:v>0.982421875</x:v>
      </x:c>
      <x:c r="L56" s="30" t="n">
        <x:f>0.5*(ABS(G56)+ABS(H56-0.5)+ABS(I56-0.5)+ABS(J56))</x:f>
        <x:v>0.017578125</x:v>
      </x:c>
    </x:row>
    <x:row r="57">
      <x:c r="A57" s="29" t="n">
        <x:v>54</x:v>
      </x:c>
      <x:c r="B57" s="29" t="n">
        <x:v>1024</x:v>
      </x:c>
      <x:c r="C57" s="29" t="n">
        <x:v>9</x:v>
      </x:c>
      <x:c r="D57" s="29" t="n">
        <x:v>470</x:v>
      </x:c>
      <x:c r="E57" s="29" t="n">
        <x:v>538</x:v>
      </x:c>
      <x:c r="F57" s="29" t="n">
        <x:v>7</x:v>
      </x:c>
      <x:c r="G57" s="30" t="n">
        <x:f>C57/B57</x:f>
        <x:v>0.0087890625</x:v>
      </x:c>
      <x:c r="H57" s="30" t="n">
        <x:f>D57/B57</x:f>
        <x:v>0.458984375</x:v>
      </x:c>
      <x:c r="I57" s="30" t="n">
        <x:f>E57/B57</x:f>
        <x:v>0.525390625</x:v>
      </x:c>
      <x:c r="J57" s="30" t="n">
        <x:f>F57/B57</x:f>
        <x:v>0.0068359375</x:v>
      </x:c>
      <x:c r="K57" s="30" t="n">
        <x:f>H57+I57</x:f>
        <x:v>0.984375</x:v>
      </x:c>
      <x:c r="L57" s="30" t="n">
        <x:f>0.5*(ABS(G57)+ABS(H57-0.5)+ABS(I57-0.5)+ABS(J57))</x:f>
        <x:v>0.041015625</x:v>
      </x:c>
    </x:row>
    <x:row r="58">
      <x:c r="A58" s="29" t="n">
        <x:v>55</x:v>
      </x:c>
      <x:c r="B58" s="29" t="n">
        <x:v>1024</x:v>
      </x:c>
      <x:c r="C58" s="29" t="n">
        <x:v>11</x:v>
      </x:c>
      <x:c r="D58" s="29" t="n">
        <x:v>512</x:v>
      </x:c>
      <x:c r="E58" s="29" t="n">
        <x:v>498</x:v>
      </x:c>
      <x:c r="F58" s="29" t="n">
        <x:v>3</x:v>
      </x:c>
      <x:c r="G58" s="30" t="n">
        <x:f>C58/B58</x:f>
        <x:v>0.0107421875</x:v>
      </x:c>
      <x:c r="H58" s="30" t="n">
        <x:f>D58/B58</x:f>
        <x:v>0.5</x:v>
      </x:c>
      <x:c r="I58" s="30" t="n">
        <x:f>E58/B58</x:f>
        <x:v>0.486328125</x:v>
      </x:c>
      <x:c r="J58" s="30" t="n">
        <x:f>F58/B58</x:f>
        <x:v>0.0029296875</x:v>
      </x:c>
      <x:c r="K58" s="30" t="n">
        <x:f>H58+I58</x:f>
        <x:v>0.986328125</x:v>
      </x:c>
      <x:c r="L58" s="30" t="n">
        <x:f>0.5*(ABS(G58)+ABS(H58-0.5)+ABS(I58-0.5)+ABS(J58))</x:f>
        <x:v>0.013671875</x:v>
      </x:c>
    </x:row>
    <x:row r="59">
      <x:c r="A59" s="29" t="n">
        <x:v>56</x:v>
      </x:c>
      <x:c r="B59" s="29" t="n">
        <x:v>1024</x:v>
      </x:c>
      <x:c r="C59" s="29" t="n">
        <x:v>9</x:v>
      </x:c>
      <x:c r="D59" s="29" t="n">
        <x:v>471</x:v>
      </x:c>
      <x:c r="E59" s="29" t="n">
        <x:v>535</x:v>
      </x:c>
      <x:c r="F59" s="29" t="n">
        <x:v>9</x:v>
      </x:c>
      <x:c r="G59" s="30" t="n">
        <x:f>C59/B59</x:f>
        <x:v>0.0087890625</x:v>
      </x:c>
      <x:c r="H59" s="30" t="n">
        <x:f>D59/B59</x:f>
        <x:v>0.4599609375</x:v>
      </x:c>
      <x:c r="I59" s="30" t="n">
        <x:f>E59/B59</x:f>
        <x:v>0.5224609375</x:v>
      </x:c>
      <x:c r="J59" s="30" t="n">
        <x:f>F59/B59</x:f>
        <x:v>0.0087890625</x:v>
      </x:c>
      <x:c r="K59" s="30" t="n">
        <x:f>H59+I59</x:f>
        <x:v>0.982421875</x:v>
      </x:c>
      <x:c r="L59" s="30" t="n">
        <x:f>0.5*(ABS(G59)+ABS(H59-0.5)+ABS(I59-0.5)+ABS(J59))</x:f>
        <x:v>0.0400390625</x:v>
      </x:c>
    </x:row>
    <x:row r="60">
      <x:c r="A60" s="29" t="n">
        <x:v>57</x:v>
      </x:c>
      <x:c r="B60" s="29" t="n">
        <x:v>1024</x:v>
      </x:c>
      <x:c r="C60" s="29" t="n">
        <x:v>12</x:v>
      </x:c>
      <x:c r="D60" s="29" t="n">
        <x:v>488</x:v>
      </x:c>
      <x:c r="E60" s="29" t="n">
        <x:v>516</x:v>
      </x:c>
      <x:c r="F60" s="29" t="n">
        <x:v>8</x:v>
      </x:c>
      <x:c r="G60" s="30" t="n">
        <x:f>C60/B60</x:f>
        <x:v>0.01171875</x:v>
      </x:c>
      <x:c r="H60" s="30" t="n">
        <x:f>D60/B60</x:f>
        <x:v>0.4765625</x:v>
      </x:c>
      <x:c r="I60" s="30" t="n">
        <x:f>E60/B60</x:f>
        <x:v>0.50390625</x:v>
      </x:c>
      <x:c r="J60" s="30" t="n">
        <x:f>F60/B60</x:f>
        <x:v>0.0078125</x:v>
      </x:c>
      <x:c r="K60" s="30" t="n">
        <x:f>H60+I60</x:f>
        <x:v>0.98046875</x:v>
      </x:c>
      <x:c r="L60" s="30" t="n">
        <x:f>0.5*(ABS(G60)+ABS(H60-0.5)+ABS(I60-0.5)+ABS(J60))</x:f>
        <x:v>0.0234375</x:v>
      </x:c>
    </x:row>
    <x:row r="61">
      <x:c r="A61" s="29" t="n">
        <x:v>58</x:v>
      </x:c>
      <x:c r="B61" s="29" t="n">
        <x:v>1024</x:v>
      </x:c>
      <x:c r="C61" s="29" t="n">
        <x:v>10</x:v>
      </x:c>
      <x:c r="D61" s="29" t="n">
        <x:v>491</x:v>
      </x:c>
      <x:c r="E61" s="29" t="n">
        <x:v>517</x:v>
      </x:c>
      <x:c r="F61" s="29" t="n">
        <x:v>6</x:v>
      </x:c>
      <x:c r="G61" s="30" t="n">
        <x:f>C61/B61</x:f>
        <x:v>0.009765625</x:v>
      </x:c>
      <x:c r="H61" s="30" t="n">
        <x:f>D61/B61</x:f>
        <x:v>0.4794921875</x:v>
      </x:c>
      <x:c r="I61" s="30" t="n">
        <x:f>E61/B61</x:f>
        <x:v>0.5048828125</x:v>
      </x:c>
      <x:c r="J61" s="30" t="n">
        <x:f>F61/B61</x:f>
        <x:v>0.005859375</x:v>
      </x:c>
      <x:c r="K61" s="30" t="n">
        <x:f>H61+I61</x:f>
        <x:v>0.984375</x:v>
      </x:c>
      <x:c r="L61" s="30" t="n">
        <x:f>0.5*(ABS(G61)+ABS(H61-0.5)+ABS(I61-0.5)+ABS(J61))</x:f>
        <x:v>0.0205078125</x:v>
      </x:c>
    </x:row>
    <x:row r="62">
      <x:c r="A62" s="29" t="n">
        <x:v>59</x:v>
      </x:c>
      <x:c r="B62" s="29" t="n">
        <x:v>1024</x:v>
      </x:c>
      <x:c r="C62" s="29" t="n">
        <x:v>11</x:v>
      </x:c>
      <x:c r="D62" s="29" t="n">
        <x:v>485</x:v>
      </x:c>
      <x:c r="E62" s="29" t="n">
        <x:v>519</x:v>
      </x:c>
      <x:c r="F62" s="29" t="n">
        <x:v>9</x:v>
      </x:c>
      <x:c r="G62" s="30" t="n">
        <x:f>C62/B62</x:f>
        <x:v>0.0107421875</x:v>
      </x:c>
      <x:c r="H62" s="30" t="n">
        <x:f>D62/B62</x:f>
        <x:v>0.4736328125</x:v>
      </x:c>
      <x:c r="I62" s="30" t="n">
        <x:f>E62/B62</x:f>
        <x:v>0.5068359375</x:v>
      </x:c>
      <x:c r="J62" s="30" t="n">
        <x:f>F62/B62</x:f>
        <x:v>0.0087890625</x:v>
      </x:c>
      <x:c r="K62" s="30" t="n">
        <x:f>H62+I62</x:f>
        <x:v>0.98046875</x:v>
      </x:c>
      <x:c r="L62" s="30" t="n">
        <x:f>0.5*(ABS(G62)+ABS(H62-0.5)+ABS(I62-0.5)+ABS(J62))</x:f>
        <x:v>0.0263671875</x:v>
      </x:c>
    </x:row>
    <x:row r="63">
      <x:c r="A63" s="29" t="n">
        <x:v>60</x:v>
      </x:c>
      <x:c r="B63" s="29" t="n">
        <x:v>1024</x:v>
      </x:c>
      <x:c r="C63" s="29" t="n">
        <x:v>6</x:v>
      </x:c>
      <x:c r="D63" s="29" t="n">
        <x:v>518</x:v>
      </x:c>
      <x:c r="E63" s="29" t="n">
        <x:v>489</x:v>
      </x:c>
      <x:c r="F63" s="29" t="n">
        <x:v>11</x:v>
      </x:c>
      <x:c r="G63" s="30" t="n">
        <x:f>C63/B63</x:f>
        <x:v>0.005859375</x:v>
      </x:c>
      <x:c r="H63" s="30" t="n">
        <x:f>D63/B63</x:f>
        <x:v>0.505859375</x:v>
      </x:c>
      <x:c r="I63" s="30" t="n">
        <x:f>E63/B63</x:f>
        <x:v>0.4775390625</x:v>
      </x:c>
      <x:c r="J63" s="30" t="n">
        <x:f>F63/B63</x:f>
        <x:v>0.0107421875</x:v>
      </x:c>
      <x:c r="K63" s="30" t="n">
        <x:f>H63+I63</x:f>
        <x:v>0.9833984375</x:v>
      </x:c>
      <x:c r="L63" s="30" t="n">
        <x:f>0.5*(ABS(G63)+ABS(H63-0.5)+ABS(I63-0.5)+ABS(J63))</x:f>
        <x:v>0.0224609375</x:v>
      </x:c>
    </x:row>
    <x:row r="64">
      <x:c r="A64" s="29" t="n">
        <x:v>61</x:v>
      </x:c>
      <x:c r="B64" s="29" t="n">
        <x:v>1024</x:v>
      </x:c>
      <x:c r="C64" s="29" t="n">
        <x:v>13</x:v>
      </x:c>
      <x:c r="D64" s="29" t="n">
        <x:v>488</x:v>
      </x:c>
      <x:c r="E64" s="29" t="n">
        <x:v>516</x:v>
      </x:c>
      <x:c r="F64" s="29" t="n">
        <x:v>7</x:v>
      </x:c>
      <x:c r="G64" s="30" t="n">
        <x:f>C64/B64</x:f>
        <x:v>0.0126953125</x:v>
      </x:c>
      <x:c r="H64" s="30" t="n">
        <x:f>D64/B64</x:f>
        <x:v>0.4765625</x:v>
      </x:c>
      <x:c r="I64" s="30" t="n">
        <x:f>E64/B64</x:f>
        <x:v>0.50390625</x:v>
      </x:c>
      <x:c r="J64" s="30" t="n">
        <x:f>F64/B64</x:f>
        <x:v>0.0068359375</x:v>
      </x:c>
      <x:c r="K64" s="30" t="n">
        <x:f>H64+I64</x:f>
        <x:v>0.98046875</x:v>
      </x:c>
      <x:c r="L64" s="30" t="n">
        <x:f>0.5*(ABS(G64)+ABS(H64-0.5)+ABS(I64-0.5)+ABS(J64))</x:f>
        <x:v>0.0234375</x:v>
      </x:c>
    </x:row>
    <x:row r="65">
      <x:c r="A65" s="29" t="n">
        <x:v>62</x:v>
      </x:c>
      <x:c r="B65" s="29" t="n">
        <x:v>1024</x:v>
      </x:c>
      <x:c r="C65" s="29" t="n">
        <x:v>8</x:v>
      </x:c>
      <x:c r="D65" s="29" t="n">
        <x:v>500</x:v>
      </x:c>
      <x:c r="E65" s="29" t="n">
        <x:v>507</x:v>
      </x:c>
      <x:c r="F65" s="29" t="n">
        <x:v>9</x:v>
      </x:c>
      <x:c r="G65" s="30" t="n">
        <x:f>C65/B65</x:f>
        <x:v>0.0078125</x:v>
      </x:c>
      <x:c r="H65" s="30" t="n">
        <x:f>D65/B65</x:f>
        <x:v>0.48828125</x:v>
      </x:c>
      <x:c r="I65" s="30" t="n">
        <x:f>E65/B65</x:f>
        <x:v>0.4951171875</x:v>
      </x:c>
      <x:c r="J65" s="30" t="n">
        <x:f>F65/B65</x:f>
        <x:v>0.0087890625</x:v>
      </x:c>
      <x:c r="K65" s="30" t="n">
        <x:f>H65+I65</x:f>
        <x:v>0.9833984375</x:v>
      </x:c>
      <x:c r="L65" s="30" t="n">
        <x:f>0.5*(ABS(G65)+ABS(H65-0.5)+ABS(I65-0.5)+ABS(J65))</x:f>
        <x:v>0.0166015625</x:v>
      </x:c>
    </x:row>
    <x:row r="66">
      <x:c r="A66" s="29" t="n">
        <x:v>63</x:v>
      </x:c>
      <x:c r="B66" s="29" t="n">
        <x:v>1024</x:v>
      </x:c>
      <x:c r="C66" s="29" t="n">
        <x:v>6</x:v>
      </x:c>
      <x:c r="D66" s="29" t="n">
        <x:v>495</x:v>
      </x:c>
      <x:c r="E66" s="29" t="n">
        <x:v>519</x:v>
      </x:c>
      <x:c r="F66" s="29" t="n">
        <x:v>4</x:v>
      </x:c>
      <x:c r="G66" s="30" t="n">
        <x:f>C66/B66</x:f>
        <x:v>0.005859375</x:v>
      </x:c>
      <x:c r="H66" s="30" t="n">
        <x:f>D66/B66</x:f>
        <x:v>0.4833984375</x:v>
      </x:c>
      <x:c r="I66" s="30" t="n">
        <x:f>E66/B66</x:f>
        <x:v>0.5068359375</x:v>
      </x:c>
      <x:c r="J66" s="30" t="n">
        <x:f>F66/B66</x:f>
        <x:v>0.00390625</x:v>
      </x:c>
      <x:c r="K66" s="30" t="n">
        <x:f>H66+I66</x:f>
        <x:v>0.990234375</x:v>
      </x:c>
      <x:c r="L66" s="30" t="n">
        <x:f>0.5*(ABS(G66)+ABS(H66-0.5)+ABS(I66-0.5)+ABS(J66))</x:f>
        <x:v>0.0166015625</x:v>
      </x:c>
    </x:row>
    <x:row r="67">
      <x:c r="A67" s="29" t="n">
        <x:v>64</x:v>
      </x:c>
      <x:c r="B67" s="29" t="n">
        <x:v>1024</x:v>
      </x:c>
      <x:c r="C67" s="29" t="n">
        <x:v>7</x:v>
      </x:c>
      <x:c r="D67" s="29" t="n">
        <x:v>506</x:v>
      </x:c>
      <x:c r="E67" s="29" t="n">
        <x:v>505</x:v>
      </x:c>
      <x:c r="F67" s="29" t="n">
        <x:v>6</x:v>
      </x:c>
      <x:c r="G67" s="30" t="n">
        <x:f>C67/B67</x:f>
        <x:v>0.0068359375</x:v>
      </x:c>
      <x:c r="H67" s="30" t="n">
        <x:f>D67/B67</x:f>
        <x:v>0.494140625</x:v>
      </x:c>
      <x:c r="I67" s="30" t="n">
        <x:f>E67/B67</x:f>
        <x:v>0.4931640625</x:v>
      </x:c>
      <x:c r="J67" s="30" t="n">
        <x:f>F67/B67</x:f>
        <x:v>0.005859375</x:v>
      </x:c>
      <x:c r="K67" s="30" t="n">
        <x:f>H67+I67</x:f>
        <x:v>0.9873046875</x:v>
      </x:c>
      <x:c r="L67" s="30" t="n">
        <x:f>0.5*(ABS(G67)+ABS(H67-0.5)+ABS(I67-0.5)+ABS(J67))</x:f>
        <x:v>0.0126953125</x:v>
      </x:c>
    </x:row>
    <x:row r="68">
      <x:c r="A68" s="29" t="n">
        <x:v>65</x:v>
      </x:c>
      <x:c r="B68" s="29" t="n">
        <x:v>1024</x:v>
      </x:c>
      <x:c r="C68" s="29" t="n">
        <x:v>4</x:v>
      </x:c>
      <x:c r="D68" s="29" t="n">
        <x:v>504</x:v>
      </x:c>
      <x:c r="E68" s="29" t="n">
        <x:v>511</x:v>
      </x:c>
      <x:c r="F68" s="29" t="n">
        <x:v>5</x:v>
      </x:c>
      <x:c r="G68" s="30" t="n">
        <x:f>C68/B68</x:f>
        <x:v>0.00390625</x:v>
      </x:c>
      <x:c r="H68" s="30" t="n">
        <x:f>D68/B68</x:f>
        <x:v>0.4921875</x:v>
      </x:c>
      <x:c r="I68" s="30" t="n">
        <x:f>E68/B68</x:f>
        <x:v>0.4990234375</x:v>
      </x:c>
      <x:c r="J68" s="30" t="n">
        <x:f>F68/B68</x:f>
        <x:v>0.0048828125</x:v>
      </x:c>
      <x:c r="K68" s="30" t="n">
        <x:f>H68+I68</x:f>
        <x:v>0.9912109375</x:v>
      </x:c>
      <x:c r="L68" s="30" t="n">
        <x:f>0.5*(ABS(G68)+ABS(H68-0.5)+ABS(I68-0.5)+ABS(J68))</x:f>
        <x:v>0.0087890625</x:v>
      </x:c>
    </x:row>
    <x:row r="69">
      <x:c r="A69" s="29" t="n">
        <x:v>66</x:v>
      </x:c>
      <x:c r="B69" s="29" t="n">
        <x:v>1024</x:v>
      </x:c>
      <x:c r="C69" s="29" t="n">
        <x:v>9</x:v>
      </x:c>
      <x:c r="D69" s="29" t="n">
        <x:v>516</x:v>
      </x:c>
      <x:c r="E69" s="29" t="n">
        <x:v>487</x:v>
      </x:c>
      <x:c r="F69" s="29" t="n">
        <x:v>12</x:v>
      </x:c>
      <x:c r="G69" s="30" t="n">
        <x:f>C69/B69</x:f>
        <x:v>0.0087890625</x:v>
      </x:c>
      <x:c r="H69" s="30" t="n">
        <x:f>D69/B69</x:f>
        <x:v>0.50390625</x:v>
      </x:c>
      <x:c r="I69" s="30" t="n">
        <x:f>E69/B69</x:f>
        <x:v>0.4755859375</x:v>
      </x:c>
      <x:c r="J69" s="30" t="n">
        <x:f>F69/B69</x:f>
        <x:v>0.01171875</x:v>
      </x:c>
      <x:c r="K69" s="30" t="n">
        <x:f>H69+I69</x:f>
        <x:v>0.9794921875</x:v>
      </x:c>
      <x:c r="L69" s="30" t="n">
        <x:f>0.5*(ABS(G69)+ABS(H69-0.5)+ABS(I69-0.5)+ABS(J69))</x:f>
        <x:v>0.0244140625</x:v>
      </x:c>
    </x:row>
    <x:row r="70">
      <x:c r="A70" s="29" t="n">
        <x:v>67</x:v>
      </x:c>
      <x:c r="B70" s="29" t="n">
        <x:v>1024</x:v>
      </x:c>
      <x:c r="C70" s="29" t="n">
        <x:v>13</x:v>
      </x:c>
      <x:c r="D70" s="29" t="n">
        <x:v>502</x:v>
      </x:c>
      <x:c r="E70" s="29" t="n">
        <x:v>498</x:v>
      </x:c>
      <x:c r="F70" s="29" t="n">
        <x:v>11</x:v>
      </x:c>
      <x:c r="G70" s="30" t="n">
        <x:f>C70/B70</x:f>
        <x:v>0.0126953125</x:v>
      </x:c>
      <x:c r="H70" s="30" t="n">
        <x:f>D70/B70</x:f>
        <x:v>0.490234375</x:v>
      </x:c>
      <x:c r="I70" s="30" t="n">
        <x:f>E70/B70</x:f>
        <x:v>0.486328125</x:v>
      </x:c>
      <x:c r="J70" s="30" t="n">
        <x:f>F70/B70</x:f>
        <x:v>0.0107421875</x:v>
      </x:c>
      <x:c r="K70" s="30" t="n">
        <x:f>H70+I70</x:f>
        <x:v>0.9765625</x:v>
      </x:c>
      <x:c r="L70" s="30" t="n">
        <x:f>0.5*(ABS(G70)+ABS(H70-0.5)+ABS(I70-0.5)+ABS(J70))</x:f>
        <x:v>0.0234375</x:v>
      </x:c>
    </x:row>
    <x:row r="71">
      <x:c r="A71" s="29" t="n">
        <x:v>68</x:v>
      </x:c>
      <x:c r="B71" s="29" t="n">
        <x:v>1024</x:v>
      </x:c>
      <x:c r="C71" s="29" t="n">
        <x:v>8</x:v>
      </x:c>
      <x:c r="D71" s="29" t="n">
        <x:v>493</x:v>
      </x:c>
      <x:c r="E71" s="29" t="n">
        <x:v>517</x:v>
      </x:c>
      <x:c r="F71" s="29" t="n">
        <x:v>6</x:v>
      </x:c>
      <x:c r="G71" s="30" t="n">
        <x:f>C71/B71</x:f>
        <x:v>0.0078125</x:v>
      </x:c>
      <x:c r="H71" s="30" t="n">
        <x:f>D71/B71</x:f>
        <x:v>0.4814453125</x:v>
      </x:c>
      <x:c r="I71" s="30" t="n">
        <x:f>E71/B71</x:f>
        <x:v>0.5048828125</x:v>
      </x:c>
      <x:c r="J71" s="30" t="n">
        <x:f>F71/B71</x:f>
        <x:v>0.005859375</x:v>
      </x:c>
      <x:c r="K71" s="30" t="n">
        <x:f>H71+I71</x:f>
        <x:v>0.986328125</x:v>
      </x:c>
      <x:c r="L71" s="30" t="n">
        <x:f>0.5*(ABS(G71)+ABS(H71-0.5)+ABS(I71-0.5)+ABS(J71))</x:f>
        <x:v>0.0185546875</x:v>
      </x:c>
    </x:row>
    <x:row r="72">
      <x:c r="A72" s="29" t="n">
        <x:v>69</x:v>
      </x:c>
      <x:c r="B72" s="29" t="n">
        <x:v>1024</x:v>
      </x:c>
      <x:c r="C72" s="29" t="n">
        <x:v>8</x:v>
      </x:c>
      <x:c r="D72" s="29" t="n">
        <x:v>517</x:v>
      </x:c>
      <x:c r="E72" s="29" t="n">
        <x:v>491</x:v>
      </x:c>
      <x:c r="F72" s="29" t="n">
        <x:v>8</x:v>
      </x:c>
      <x:c r="G72" s="30" t="n">
        <x:f>C72/B72</x:f>
        <x:v>0.0078125</x:v>
      </x:c>
      <x:c r="H72" s="30" t="n">
        <x:f>D72/B72</x:f>
        <x:v>0.5048828125</x:v>
      </x:c>
      <x:c r="I72" s="30" t="n">
        <x:f>E72/B72</x:f>
        <x:v>0.4794921875</x:v>
      </x:c>
      <x:c r="J72" s="30" t="n">
        <x:f>F72/B72</x:f>
        <x:v>0.0078125</x:v>
      </x:c>
      <x:c r="K72" s="30" t="n">
        <x:f>H72+I72</x:f>
        <x:v>0.984375</x:v>
      </x:c>
      <x:c r="L72" s="30" t="n">
        <x:f>0.5*(ABS(G72)+ABS(H72-0.5)+ABS(I72-0.5)+ABS(J72))</x:f>
        <x:v>0.0205078125</x:v>
      </x:c>
    </x:row>
    <x:row r="73">
      <x:c r="A73" s="29" t="n">
        <x:v>70</x:v>
      </x:c>
      <x:c r="B73" s="29" t="n">
        <x:v>1024</x:v>
      </x:c>
      <x:c r="C73" s="29" t="n">
        <x:v>8</x:v>
      </x:c>
      <x:c r="D73" s="29" t="n">
        <x:v>506</x:v>
      </x:c>
      <x:c r="E73" s="29" t="n">
        <x:v>501</x:v>
      </x:c>
      <x:c r="F73" s="29" t="n">
        <x:v>9</x:v>
      </x:c>
      <x:c r="G73" s="30" t="n">
        <x:f>C73/B73</x:f>
        <x:v>0.0078125</x:v>
      </x:c>
      <x:c r="H73" s="30" t="n">
        <x:f>D73/B73</x:f>
        <x:v>0.494140625</x:v>
      </x:c>
      <x:c r="I73" s="30" t="n">
        <x:f>E73/B73</x:f>
        <x:v>0.4892578125</x:v>
      </x:c>
      <x:c r="J73" s="30" t="n">
        <x:f>F73/B73</x:f>
        <x:v>0.0087890625</x:v>
      </x:c>
      <x:c r="K73" s="30" t="n">
        <x:f>H73+I73</x:f>
        <x:v>0.9833984375</x:v>
      </x:c>
      <x:c r="L73" s="30" t="n">
        <x:f>0.5*(ABS(G73)+ABS(H73-0.5)+ABS(I73-0.5)+ABS(J73))</x:f>
        <x:v>0.0166015625</x:v>
      </x:c>
    </x:row>
    <x:row r="74">
      <x:c r="A74" s="29" t="n">
        <x:v>71</x:v>
      </x:c>
      <x:c r="B74" s="29" t="n">
        <x:v>1024</x:v>
      </x:c>
      <x:c r="C74" s="29" t="n">
        <x:v>8</x:v>
      </x:c>
      <x:c r="D74" s="29" t="n">
        <x:v>485</x:v>
      </x:c>
      <x:c r="E74" s="29" t="n">
        <x:v>523</x:v>
      </x:c>
      <x:c r="F74" s="29" t="n">
        <x:v>8</x:v>
      </x:c>
      <x:c r="G74" s="30" t="n">
        <x:f>C74/B74</x:f>
        <x:v>0.0078125</x:v>
      </x:c>
      <x:c r="H74" s="30" t="n">
        <x:f>D74/B74</x:f>
        <x:v>0.4736328125</x:v>
      </x:c>
      <x:c r="I74" s="30" t="n">
        <x:f>E74/B74</x:f>
        <x:v>0.5107421875</x:v>
      </x:c>
      <x:c r="J74" s="30" t="n">
        <x:f>F74/B74</x:f>
        <x:v>0.0078125</x:v>
      </x:c>
      <x:c r="K74" s="30" t="n">
        <x:f>H74+I74</x:f>
        <x:v>0.984375</x:v>
      </x:c>
      <x:c r="L74" s="30" t="n">
        <x:f>0.5*(ABS(G74)+ABS(H74-0.5)+ABS(I74-0.5)+ABS(J74))</x:f>
        <x:v>0.0263671875</x:v>
      </x:c>
    </x:row>
    <x:row r="75">
      <x:c r="A75" s="29" t="n">
        <x:v>72</x:v>
      </x:c>
      <x:c r="B75" s="29" t="n">
        <x:v>1024</x:v>
      </x:c>
      <x:c r="C75" s="29" t="n">
        <x:v>7</x:v>
      </x:c>
      <x:c r="D75" s="29" t="n">
        <x:v>521</x:v>
      </x:c>
      <x:c r="E75" s="29" t="n">
        <x:v>484</x:v>
      </x:c>
      <x:c r="F75" s="29" t="n">
        <x:v>12</x:v>
      </x:c>
      <x:c r="G75" s="30" t="n">
        <x:f>C75/B75</x:f>
        <x:v>0.0068359375</x:v>
      </x:c>
      <x:c r="H75" s="30" t="n">
        <x:f>D75/B75</x:f>
        <x:v>0.5087890625</x:v>
      </x:c>
      <x:c r="I75" s="30" t="n">
        <x:f>E75/B75</x:f>
        <x:v>0.47265625</x:v>
      </x:c>
      <x:c r="J75" s="30" t="n">
        <x:f>F75/B75</x:f>
        <x:v>0.01171875</x:v>
      </x:c>
      <x:c r="K75" s="30" t="n">
        <x:f>H75+I75</x:f>
        <x:v>0.9814453125</x:v>
      </x:c>
      <x:c r="L75" s="30" t="n">
        <x:f>0.5*(ABS(G75)+ABS(H75-0.5)+ABS(I75-0.5)+ABS(J75))</x:f>
        <x:v>0.02734375</x:v>
      </x:c>
    </x:row>
    <x:row r="76">
      <x:c r="A76" s="29" t="n">
        <x:v>73</x:v>
      </x:c>
      <x:c r="B76" s="29" t="n">
        <x:v>1024</x:v>
      </x:c>
      <x:c r="C76" s="29" t="n">
        <x:v>10</x:v>
      </x:c>
      <x:c r="D76" s="29" t="n">
        <x:v>485</x:v>
      </x:c>
      <x:c r="E76" s="29" t="n">
        <x:v>522</x:v>
      </x:c>
      <x:c r="F76" s="29" t="n">
        <x:v>7</x:v>
      </x:c>
      <x:c r="G76" s="30" t="n">
        <x:f>C76/B76</x:f>
        <x:v>0.009765625</x:v>
      </x:c>
      <x:c r="H76" s="30" t="n">
        <x:f>D76/B76</x:f>
        <x:v>0.4736328125</x:v>
      </x:c>
      <x:c r="I76" s="30" t="n">
        <x:f>E76/B76</x:f>
        <x:v>0.509765625</x:v>
      </x:c>
      <x:c r="J76" s="30" t="n">
        <x:f>F76/B76</x:f>
        <x:v>0.0068359375</x:v>
      </x:c>
      <x:c r="K76" s="30" t="n">
        <x:f>H76+I76</x:f>
        <x:v>0.9833984375</x:v>
      </x:c>
      <x:c r="L76" s="30" t="n">
        <x:f>0.5*(ABS(G76)+ABS(H76-0.5)+ABS(I76-0.5)+ABS(J76))</x:f>
        <x:v>0.0263671875</x:v>
      </x:c>
    </x:row>
    <x:row r="77">
      <x:c r="A77" s="29" t="n">
        <x:v>74</x:v>
      </x:c>
      <x:c r="B77" s="29" t="n">
        <x:v>1024</x:v>
      </x:c>
      <x:c r="C77" s="29" t="n">
        <x:v>3</x:v>
      </x:c>
      <x:c r="D77" s="29" t="n">
        <x:v>497</x:v>
      </x:c>
      <x:c r="E77" s="29" t="n">
        <x:v>513</x:v>
      </x:c>
      <x:c r="F77" s="29" t="n">
        <x:v>11</x:v>
      </x:c>
      <x:c r="G77" s="30" t="n">
        <x:f>C77/B77</x:f>
        <x:v>0.0029296875</x:v>
      </x:c>
      <x:c r="H77" s="30" t="n">
        <x:f>D77/B77</x:f>
        <x:v>0.4853515625</x:v>
      </x:c>
      <x:c r="I77" s="30" t="n">
        <x:f>E77/B77</x:f>
        <x:v>0.5009765625</x:v>
      </x:c>
      <x:c r="J77" s="30" t="n">
        <x:f>F77/B77</x:f>
        <x:v>0.0107421875</x:v>
      </x:c>
      <x:c r="K77" s="30" t="n">
        <x:f>H77+I77</x:f>
        <x:v>0.986328125</x:v>
      </x:c>
      <x:c r="L77" s="30" t="n">
        <x:f>0.5*(ABS(G77)+ABS(H77-0.5)+ABS(I77-0.5)+ABS(J77))</x:f>
        <x:v>0.0146484375</x:v>
      </x:c>
    </x:row>
    <x:row r="78">
      <x:c r="A78" s="29" t="n">
        <x:v>75</x:v>
      </x:c>
      <x:c r="B78" s="29" t="n">
        <x:v>1024</x:v>
      </x:c>
      <x:c r="C78" s="29" t="n">
        <x:v>14</x:v>
      </x:c>
      <x:c r="D78" s="29" t="n">
        <x:v>517</x:v>
      </x:c>
      <x:c r="E78" s="29" t="n">
        <x:v>486</x:v>
      </x:c>
      <x:c r="F78" s="29" t="n">
        <x:v>7</x:v>
      </x:c>
      <x:c r="G78" s="30" t="n">
        <x:f>C78/B78</x:f>
        <x:v>0.013671875</x:v>
      </x:c>
      <x:c r="H78" s="30" t="n">
        <x:f>D78/B78</x:f>
        <x:v>0.5048828125</x:v>
      </x:c>
      <x:c r="I78" s="30" t="n">
        <x:f>E78/B78</x:f>
        <x:v>0.474609375</x:v>
      </x:c>
      <x:c r="J78" s="30" t="n">
        <x:f>F78/B78</x:f>
        <x:v>0.0068359375</x:v>
      </x:c>
      <x:c r="K78" s="30" t="n">
        <x:f>H78+I78</x:f>
        <x:v>0.9794921875</x:v>
      </x:c>
      <x:c r="L78" s="30" t="n">
        <x:f>0.5*(ABS(G78)+ABS(H78-0.5)+ABS(I78-0.5)+ABS(J78))</x:f>
        <x:v>0.025390625</x:v>
      </x:c>
    </x:row>
    <x:row r="79">
      <x:c r="A79" s="29" t="n">
        <x:v>76</x:v>
      </x:c>
      <x:c r="B79" s="29" t="n">
        <x:v>1024</x:v>
      </x:c>
      <x:c r="C79" s="29" t="n">
        <x:v>10</x:v>
      </x:c>
      <x:c r="D79" s="29" t="n">
        <x:v>510</x:v>
      </x:c>
      <x:c r="E79" s="29" t="n">
        <x:v>492</x:v>
      </x:c>
      <x:c r="F79" s="29" t="n">
        <x:v>12</x:v>
      </x:c>
      <x:c r="G79" s="30" t="n">
        <x:f>C79/B79</x:f>
        <x:v>0.009765625</x:v>
      </x:c>
      <x:c r="H79" s="30" t="n">
        <x:f>D79/B79</x:f>
        <x:v>0.498046875</x:v>
      </x:c>
      <x:c r="I79" s="30" t="n">
        <x:f>E79/B79</x:f>
        <x:v>0.48046875</x:v>
      </x:c>
      <x:c r="J79" s="30" t="n">
        <x:f>F79/B79</x:f>
        <x:v>0.01171875</x:v>
      </x:c>
      <x:c r="K79" s="30" t="n">
        <x:f>H79+I79</x:f>
        <x:v>0.978515625</x:v>
      </x:c>
      <x:c r="L79" s="30" t="n">
        <x:f>0.5*(ABS(G79)+ABS(H79-0.5)+ABS(I79-0.5)+ABS(J79))</x:f>
        <x:v>0.021484375</x:v>
      </x:c>
    </x:row>
    <x:row r="80">
      <x:c r="A80" s="29" t="n">
        <x:v>77</x:v>
      </x:c>
      <x:c r="B80" s="29" t="n">
        <x:v>1024</x:v>
      </x:c>
      <x:c r="C80" s="29" t="n">
        <x:v>8</x:v>
      </x:c>
      <x:c r="D80" s="29" t="n">
        <x:v>524</x:v>
      </x:c>
      <x:c r="E80" s="29" t="n">
        <x:v>486</x:v>
      </x:c>
      <x:c r="F80" s="29" t="n">
        <x:v>6</x:v>
      </x:c>
      <x:c r="G80" s="30" t="n">
        <x:f>C80/B80</x:f>
        <x:v>0.0078125</x:v>
      </x:c>
      <x:c r="H80" s="30" t="n">
        <x:f>D80/B80</x:f>
        <x:v>0.51171875</x:v>
      </x:c>
      <x:c r="I80" s="30" t="n">
        <x:f>E80/B80</x:f>
        <x:v>0.474609375</x:v>
      </x:c>
      <x:c r="J80" s="30" t="n">
        <x:f>F80/B80</x:f>
        <x:v>0.005859375</x:v>
      </x:c>
      <x:c r="K80" s="30" t="n">
        <x:f>H80+I80</x:f>
        <x:v>0.986328125</x:v>
      </x:c>
      <x:c r="L80" s="30" t="n">
        <x:f>0.5*(ABS(G80)+ABS(H80-0.5)+ABS(I80-0.5)+ABS(J80))</x:f>
        <x:v>0.025390625</x:v>
      </x:c>
    </x:row>
    <x:row r="81">
      <x:c r="A81" s="29" t="n">
        <x:v>78</x:v>
      </x:c>
      <x:c r="B81" s="29" t="n">
        <x:v>1024</x:v>
      </x:c>
      <x:c r="C81" s="29" t="n">
        <x:v>11</x:v>
      </x:c>
      <x:c r="D81" s="29" t="n">
        <x:v>497</x:v>
      </x:c>
      <x:c r="E81" s="29" t="n">
        <x:v>506</x:v>
      </x:c>
      <x:c r="F81" s="29" t="n">
        <x:v>10</x:v>
      </x:c>
      <x:c r="G81" s="30" t="n">
        <x:f>C81/B81</x:f>
        <x:v>0.0107421875</x:v>
      </x:c>
      <x:c r="H81" s="30" t="n">
        <x:f>D81/B81</x:f>
        <x:v>0.4853515625</x:v>
      </x:c>
      <x:c r="I81" s="30" t="n">
        <x:f>E81/B81</x:f>
        <x:v>0.494140625</x:v>
      </x:c>
      <x:c r="J81" s="30" t="n">
        <x:f>F81/B81</x:f>
        <x:v>0.009765625</x:v>
      </x:c>
      <x:c r="K81" s="30" t="n">
        <x:f>H81+I81</x:f>
        <x:v>0.9794921875</x:v>
      </x:c>
      <x:c r="L81" s="30" t="n">
        <x:f>0.5*(ABS(G81)+ABS(H81-0.5)+ABS(I81-0.5)+ABS(J81))</x:f>
        <x:v>0.0205078125</x:v>
      </x:c>
    </x:row>
    <x:row r="82">
      <x:c r="A82" s="29" t="n">
        <x:v>79</x:v>
      </x:c>
      <x:c r="B82" s="29" t="n">
        <x:v>1024</x:v>
      </x:c>
      <x:c r="C82" s="29" t="n">
        <x:v>9</x:v>
      </x:c>
      <x:c r="D82" s="29" t="n">
        <x:v>523</x:v>
      </x:c>
      <x:c r="E82" s="29" t="n">
        <x:v>484</x:v>
      </x:c>
      <x:c r="F82" s="29" t="n">
        <x:v>8</x:v>
      </x:c>
      <x:c r="G82" s="30" t="n">
        <x:f>C82/B82</x:f>
        <x:v>0.0087890625</x:v>
      </x:c>
      <x:c r="H82" s="30" t="n">
        <x:f>D82/B82</x:f>
        <x:v>0.5107421875</x:v>
      </x:c>
      <x:c r="I82" s="30" t="n">
        <x:f>E82/B82</x:f>
        <x:v>0.47265625</x:v>
      </x:c>
      <x:c r="J82" s="30" t="n">
        <x:f>F82/B82</x:f>
        <x:v>0.0078125</x:v>
      </x:c>
      <x:c r="K82" s="30" t="n">
        <x:f>H82+I82</x:f>
        <x:v>0.9833984375</x:v>
      </x:c>
      <x:c r="L82" s="30" t="n">
        <x:f>0.5*(ABS(G82)+ABS(H82-0.5)+ABS(I82-0.5)+ABS(J82))</x:f>
        <x:v>0.02734375</x:v>
      </x:c>
    </x:row>
    <x:row r="83">
      <x:c r="A83" s="29" t="n">
        <x:v>80</x:v>
      </x:c>
      <x:c r="B83" s="29" t="n">
        <x:v>1024</x:v>
      </x:c>
      <x:c r="C83" s="29" t="n">
        <x:v>4</x:v>
      </x:c>
      <x:c r="D83" s="29" t="n">
        <x:v>525</x:v>
      </x:c>
      <x:c r="E83" s="29" t="n">
        <x:v>487</x:v>
      </x:c>
      <x:c r="F83" s="29" t="n">
        <x:v>8</x:v>
      </x:c>
      <x:c r="G83" s="30" t="n">
        <x:f>C83/B83</x:f>
        <x:v>0.00390625</x:v>
      </x:c>
      <x:c r="H83" s="30" t="n">
        <x:f>D83/B83</x:f>
        <x:v>0.5126953125</x:v>
      </x:c>
      <x:c r="I83" s="30" t="n">
        <x:f>E83/B83</x:f>
        <x:v>0.4755859375</x:v>
      </x:c>
      <x:c r="J83" s="30" t="n">
        <x:f>F83/B83</x:f>
        <x:v>0.0078125</x:v>
      </x:c>
      <x:c r="K83" s="30" t="n">
        <x:f>H83+I83</x:f>
        <x:v>0.98828125</x:v>
      </x:c>
      <x:c r="L83" s="30" t="n">
        <x:f>0.5*(ABS(G83)+ABS(H83-0.5)+ABS(I83-0.5)+ABS(J83))</x:f>
        <x:v>0.0244140625</x:v>
      </x:c>
    </x:row>
    <x:row r="84">
      <x:c r="A84" s="29" t="n">
        <x:v>81</x:v>
      </x:c>
      <x:c r="B84" s="29" t="n">
        <x:v>1024</x:v>
      </x:c>
      <x:c r="C84" s="29" t="n">
        <x:v>5</x:v>
      </x:c>
      <x:c r="D84" s="29" t="n">
        <x:v>502</x:v>
      </x:c>
      <x:c r="E84" s="29" t="n">
        <x:v>509</x:v>
      </x:c>
      <x:c r="F84" s="29" t="n">
        <x:v>8</x:v>
      </x:c>
      <x:c r="G84" s="30" t="n">
        <x:f>C84/B84</x:f>
        <x:v>0.0048828125</x:v>
      </x:c>
      <x:c r="H84" s="30" t="n">
        <x:f>D84/B84</x:f>
        <x:v>0.490234375</x:v>
      </x:c>
      <x:c r="I84" s="30" t="n">
        <x:f>E84/B84</x:f>
        <x:v>0.4970703125</x:v>
      </x:c>
      <x:c r="J84" s="30" t="n">
        <x:f>F84/B84</x:f>
        <x:v>0.0078125</x:v>
      </x:c>
      <x:c r="K84" s="30" t="n">
        <x:f>H84+I84</x:f>
        <x:v>0.9873046875</x:v>
      </x:c>
      <x:c r="L84" s="30" t="n">
        <x:f>0.5*(ABS(G84)+ABS(H84-0.5)+ABS(I84-0.5)+ABS(J84))</x:f>
        <x:v>0.0126953125</x:v>
      </x:c>
    </x:row>
    <x:row r="85">
      <x:c r="A85" s="29" t="n">
        <x:v>82</x:v>
      </x:c>
      <x:c r="B85" s="29" t="n">
        <x:v>1024</x:v>
      </x:c>
      <x:c r="C85" s="29" t="n">
        <x:v>13</x:v>
      </x:c>
      <x:c r="D85" s="29" t="n">
        <x:v>483</x:v>
      </x:c>
      <x:c r="E85" s="29" t="n">
        <x:v>521</x:v>
      </x:c>
      <x:c r="F85" s="29" t="n">
        <x:v>7</x:v>
      </x:c>
      <x:c r="G85" s="30" t="n">
        <x:f>C85/B85</x:f>
        <x:v>0.0126953125</x:v>
      </x:c>
      <x:c r="H85" s="30" t="n">
        <x:f>D85/B85</x:f>
        <x:v>0.4716796875</x:v>
      </x:c>
      <x:c r="I85" s="30" t="n">
        <x:f>E85/B85</x:f>
        <x:v>0.5087890625</x:v>
      </x:c>
      <x:c r="J85" s="30" t="n">
        <x:f>F85/B85</x:f>
        <x:v>0.0068359375</x:v>
      </x:c>
      <x:c r="K85" s="30" t="n">
        <x:f>H85+I85</x:f>
        <x:v>0.98046875</x:v>
      </x:c>
      <x:c r="L85" s="30" t="n">
        <x:f>0.5*(ABS(G85)+ABS(H85-0.5)+ABS(I85-0.5)+ABS(J85))</x:f>
        <x:v>0.0283203125</x:v>
      </x:c>
    </x:row>
    <x:row r="86">
      <x:c r="A86" s="29" t="n">
        <x:v>83</x:v>
      </x:c>
      <x:c r="B86" s="29" t="n">
        <x:v>1024</x:v>
      </x:c>
      <x:c r="C86" s="29" t="n">
        <x:v>8</x:v>
      </x:c>
      <x:c r="D86" s="29" t="n">
        <x:v>498</x:v>
      </x:c>
      <x:c r="E86" s="29" t="n">
        <x:v>513</x:v>
      </x:c>
      <x:c r="F86" s="29" t="n">
        <x:v>5</x:v>
      </x:c>
      <x:c r="G86" s="30" t="n">
        <x:f>C86/B86</x:f>
        <x:v>0.0078125</x:v>
      </x:c>
      <x:c r="H86" s="30" t="n">
        <x:f>D86/B86</x:f>
        <x:v>0.486328125</x:v>
      </x:c>
      <x:c r="I86" s="30" t="n">
        <x:f>E86/B86</x:f>
        <x:v>0.5009765625</x:v>
      </x:c>
      <x:c r="J86" s="30" t="n">
        <x:f>F86/B86</x:f>
        <x:v>0.0048828125</x:v>
      </x:c>
      <x:c r="K86" s="30" t="n">
        <x:f>H86+I86</x:f>
        <x:v>0.9873046875</x:v>
      </x:c>
      <x:c r="L86" s="30" t="n">
        <x:f>0.5*(ABS(G86)+ABS(H86-0.5)+ABS(I86-0.5)+ABS(J86))</x:f>
        <x:v>0.013671875</x:v>
      </x:c>
    </x:row>
    <x:row r="87">
      <x:c r="A87" s="29" t="n">
        <x:v>84</x:v>
      </x:c>
      <x:c r="B87" s="29" t="n">
        <x:v>1024</x:v>
      </x:c>
      <x:c r="C87" s="29" t="n">
        <x:v>6</x:v>
      </x:c>
      <x:c r="D87" s="29" t="n">
        <x:v>507</x:v>
      </x:c>
      <x:c r="E87" s="29" t="n">
        <x:v>500</x:v>
      </x:c>
      <x:c r="F87" s="29" t="n">
        <x:v>11</x:v>
      </x:c>
      <x:c r="G87" s="30" t="n">
        <x:f>C87/B87</x:f>
        <x:v>0.005859375</x:v>
      </x:c>
      <x:c r="H87" s="30" t="n">
        <x:f>D87/B87</x:f>
        <x:v>0.4951171875</x:v>
      </x:c>
      <x:c r="I87" s="30" t="n">
        <x:f>E87/B87</x:f>
        <x:v>0.48828125</x:v>
      </x:c>
      <x:c r="J87" s="30" t="n">
        <x:f>F87/B87</x:f>
        <x:v>0.0107421875</x:v>
      </x:c>
      <x:c r="K87" s="30" t="n">
        <x:f>H87+I87</x:f>
        <x:v>0.9833984375</x:v>
      </x:c>
      <x:c r="L87" s="30" t="n">
        <x:f>0.5*(ABS(G87)+ABS(H87-0.5)+ABS(I87-0.5)+ABS(J87))</x:f>
        <x:v>0.0166015625</x:v>
      </x:c>
    </x:row>
    <x:row r="88">
      <x:c r="A88" s="29" t="n">
        <x:v>85</x:v>
      </x:c>
      <x:c r="B88" s="29" t="n">
        <x:v>1024</x:v>
      </x:c>
      <x:c r="C88" s="29" t="n">
        <x:v>9</x:v>
      </x:c>
      <x:c r="D88" s="29" t="n">
        <x:v>523</x:v>
      </x:c>
      <x:c r="E88" s="29" t="n">
        <x:v>485</x:v>
      </x:c>
      <x:c r="F88" s="29" t="n">
        <x:v>7</x:v>
      </x:c>
      <x:c r="G88" s="30" t="n">
        <x:f>C88/B88</x:f>
        <x:v>0.0087890625</x:v>
      </x:c>
      <x:c r="H88" s="30" t="n">
        <x:f>D88/B88</x:f>
        <x:v>0.5107421875</x:v>
      </x:c>
      <x:c r="I88" s="30" t="n">
        <x:f>E88/B88</x:f>
        <x:v>0.4736328125</x:v>
      </x:c>
      <x:c r="J88" s="30" t="n">
        <x:f>F88/B88</x:f>
        <x:v>0.0068359375</x:v>
      </x:c>
      <x:c r="K88" s="30" t="n">
        <x:f>H88+I88</x:f>
        <x:v>0.984375</x:v>
      </x:c>
      <x:c r="L88" s="30" t="n">
        <x:f>0.5*(ABS(G88)+ABS(H88-0.5)+ABS(I88-0.5)+ABS(J88))</x:f>
        <x:v>0.0263671875</x:v>
      </x:c>
    </x:row>
    <x:row r="89">
      <x:c r="A89" s="29" t="n">
        <x:v>86</x:v>
      </x:c>
      <x:c r="B89" s="29" t="n">
        <x:v>1024</x:v>
      </x:c>
      <x:c r="C89" s="29" t="n">
        <x:v>7</x:v>
      </x:c>
      <x:c r="D89" s="29" t="n">
        <x:v>497</x:v>
      </x:c>
      <x:c r="E89" s="29" t="n">
        <x:v>510</x:v>
      </x:c>
      <x:c r="F89" s="29" t="n">
        <x:v>10</x:v>
      </x:c>
      <x:c r="G89" s="30" t="n">
        <x:f>C89/B89</x:f>
        <x:v>0.0068359375</x:v>
      </x:c>
      <x:c r="H89" s="30" t="n">
        <x:f>D89/B89</x:f>
        <x:v>0.4853515625</x:v>
      </x:c>
      <x:c r="I89" s="30" t="n">
        <x:f>E89/B89</x:f>
        <x:v>0.498046875</x:v>
      </x:c>
      <x:c r="J89" s="30" t="n">
        <x:f>F89/B89</x:f>
        <x:v>0.009765625</x:v>
      </x:c>
      <x:c r="K89" s="30" t="n">
        <x:f>H89+I89</x:f>
        <x:v>0.9833984375</x:v>
      </x:c>
      <x:c r="L89" s="30" t="n">
        <x:f>0.5*(ABS(G89)+ABS(H89-0.5)+ABS(I89-0.5)+ABS(J89))</x:f>
        <x:v>0.0166015625</x:v>
      </x:c>
    </x:row>
    <x:row r="90">
      <x:c r="A90" s="29" t="n">
        <x:v>87</x:v>
      </x:c>
      <x:c r="B90" s="29" t="n">
        <x:v>1024</x:v>
      </x:c>
      <x:c r="C90" s="29" t="n">
        <x:v>8</x:v>
      </x:c>
      <x:c r="D90" s="29" t="n">
        <x:v>517</x:v>
      </x:c>
      <x:c r="E90" s="29" t="n">
        <x:v>490</x:v>
      </x:c>
      <x:c r="F90" s="29" t="n">
        <x:v>9</x:v>
      </x:c>
      <x:c r="G90" s="30" t="n">
        <x:f>C90/B90</x:f>
        <x:v>0.0078125</x:v>
      </x:c>
      <x:c r="H90" s="30" t="n">
        <x:f>D90/B90</x:f>
        <x:v>0.5048828125</x:v>
      </x:c>
      <x:c r="I90" s="30" t="n">
        <x:f>E90/B90</x:f>
        <x:v>0.478515625</x:v>
      </x:c>
      <x:c r="J90" s="30" t="n">
        <x:f>F90/B90</x:f>
        <x:v>0.0087890625</x:v>
      </x:c>
      <x:c r="K90" s="30" t="n">
        <x:f>H90+I90</x:f>
        <x:v>0.9833984375</x:v>
      </x:c>
      <x:c r="L90" s="30" t="n">
        <x:f>0.5*(ABS(G90)+ABS(H90-0.5)+ABS(I90-0.5)+ABS(J90))</x:f>
        <x:v>0.021484375</x:v>
      </x:c>
    </x:row>
    <x:row r="91">
      <x:c r="A91" s="29" t="n">
        <x:v>88</x:v>
      </x:c>
      <x:c r="B91" s="29" t="n">
        <x:v>1024</x:v>
      </x:c>
      <x:c r="C91" s="29" t="n">
        <x:v>7</x:v>
      </x:c>
      <x:c r="D91" s="29" t="n">
        <x:v>512</x:v>
      </x:c>
      <x:c r="E91" s="29" t="n">
        <x:v>492</x:v>
      </x:c>
      <x:c r="F91" s="29" t="n">
        <x:v>13</x:v>
      </x:c>
      <x:c r="G91" s="30" t="n">
        <x:f>C91/B91</x:f>
        <x:v>0.0068359375</x:v>
      </x:c>
      <x:c r="H91" s="30" t="n">
        <x:f>D91/B91</x:f>
        <x:v>0.5</x:v>
      </x:c>
      <x:c r="I91" s="30" t="n">
        <x:f>E91/B91</x:f>
        <x:v>0.48046875</x:v>
      </x:c>
      <x:c r="J91" s="30" t="n">
        <x:f>F91/B91</x:f>
        <x:v>0.0126953125</x:v>
      </x:c>
      <x:c r="K91" s="30" t="n">
        <x:f>H91+I91</x:f>
        <x:v>0.98046875</x:v>
      </x:c>
      <x:c r="L91" s="30" t="n">
        <x:f>0.5*(ABS(G91)+ABS(H91-0.5)+ABS(I91-0.5)+ABS(J91))</x:f>
        <x:v>0.01953125</x:v>
      </x:c>
    </x:row>
    <x:row r="92">
      <x:c r="A92" s="29" t="n">
        <x:v>89</x:v>
      </x:c>
      <x:c r="B92" s="29" t="n">
        <x:v>1024</x:v>
      </x:c>
      <x:c r="C92" s="29" t="n">
        <x:v>5</x:v>
      </x:c>
      <x:c r="D92" s="29" t="n">
        <x:v>525</x:v>
      </x:c>
      <x:c r="E92" s="29" t="n">
        <x:v>485</x:v>
      </x:c>
      <x:c r="F92" s="29" t="n">
        <x:v>9</x:v>
      </x:c>
      <x:c r="G92" s="30" t="n">
        <x:f>C92/B92</x:f>
        <x:v>0.0048828125</x:v>
      </x:c>
      <x:c r="H92" s="30" t="n">
        <x:f>D92/B92</x:f>
        <x:v>0.5126953125</x:v>
      </x:c>
      <x:c r="I92" s="30" t="n">
        <x:f>E92/B92</x:f>
        <x:v>0.4736328125</x:v>
      </x:c>
      <x:c r="J92" s="30" t="n">
        <x:f>F92/B92</x:f>
        <x:v>0.0087890625</x:v>
      </x:c>
      <x:c r="K92" s="30" t="n">
        <x:f>H92+I92</x:f>
        <x:v>0.986328125</x:v>
      </x:c>
      <x:c r="L92" s="30" t="n">
        <x:f>0.5*(ABS(G92)+ABS(H92-0.5)+ABS(I92-0.5)+ABS(J92))</x:f>
        <x:v>0.0263671875</x:v>
      </x:c>
    </x:row>
    <x:row r="93">
      <x:c r="A93" s="29" t="n">
        <x:v>90</x:v>
      </x:c>
      <x:c r="B93" s="29" t="n">
        <x:v>1024</x:v>
      </x:c>
      <x:c r="C93" s="29" t="n">
        <x:v>10</x:v>
      </x:c>
      <x:c r="D93" s="29" t="n">
        <x:v>487</x:v>
      </x:c>
      <x:c r="E93" s="29" t="n">
        <x:v>520</x:v>
      </x:c>
      <x:c r="F93" s="29" t="n">
        <x:v>7</x:v>
      </x:c>
      <x:c r="G93" s="30" t="n">
        <x:f>C93/B93</x:f>
        <x:v>0.009765625</x:v>
      </x:c>
      <x:c r="H93" s="30" t="n">
        <x:f>D93/B93</x:f>
        <x:v>0.4755859375</x:v>
      </x:c>
      <x:c r="I93" s="30" t="n">
        <x:f>E93/B93</x:f>
        <x:v>0.5078125</x:v>
      </x:c>
      <x:c r="J93" s="30" t="n">
        <x:f>F93/B93</x:f>
        <x:v>0.0068359375</x:v>
      </x:c>
      <x:c r="K93" s="30" t="n">
        <x:f>H93+I93</x:f>
        <x:v>0.9833984375</x:v>
      </x:c>
      <x:c r="L93" s="30" t="n">
        <x:f>0.5*(ABS(G93)+ABS(H93-0.5)+ABS(I93-0.5)+ABS(J93))</x:f>
        <x:v>0.0244140625</x:v>
      </x:c>
    </x:row>
    <x:row r="94">
      <x:c r="A94" s="29" t="n">
        <x:v>91</x:v>
      </x:c>
      <x:c r="B94" s="29" t="n">
        <x:v>1024</x:v>
      </x:c>
      <x:c r="C94" s="29" t="n">
        <x:v>13</x:v>
      </x:c>
      <x:c r="D94" s="29" t="n">
        <x:v>509</x:v>
      </x:c>
      <x:c r="E94" s="29" t="n">
        <x:v>496</x:v>
      </x:c>
      <x:c r="F94" s="29" t="n">
        <x:v>6</x:v>
      </x:c>
      <x:c r="G94" s="30" t="n">
        <x:f>C94/B94</x:f>
        <x:v>0.0126953125</x:v>
      </x:c>
      <x:c r="H94" s="30" t="n">
        <x:f>D94/B94</x:f>
        <x:v>0.4970703125</x:v>
      </x:c>
      <x:c r="I94" s="30" t="n">
        <x:f>E94/B94</x:f>
        <x:v>0.484375</x:v>
      </x:c>
      <x:c r="J94" s="30" t="n">
        <x:f>F94/B94</x:f>
        <x:v>0.005859375</x:v>
      </x:c>
      <x:c r="K94" s="30" t="n">
        <x:f>H94+I94</x:f>
        <x:v>0.9814453125</x:v>
      </x:c>
      <x:c r="L94" s="30" t="n">
        <x:f>0.5*(ABS(G94)+ABS(H94-0.5)+ABS(I94-0.5)+ABS(J94))</x:f>
        <x:v>0.0185546875</x:v>
      </x:c>
    </x:row>
    <x:row r="95">
      <x:c r="A95" s="29" t="n">
        <x:v>92</x:v>
      </x:c>
      <x:c r="B95" s="29" t="n">
        <x:v>1024</x:v>
      </x:c>
      <x:c r="C95" s="29" t="n">
        <x:v>9</x:v>
      </x:c>
      <x:c r="D95" s="29" t="n">
        <x:v>467</x:v>
      </x:c>
      <x:c r="E95" s="29" t="n">
        <x:v>541</x:v>
      </x:c>
      <x:c r="F95" s="29" t="n">
        <x:v>7</x:v>
      </x:c>
      <x:c r="G95" s="30" t="n">
        <x:f>C95/B95</x:f>
        <x:v>0.0087890625</x:v>
      </x:c>
      <x:c r="H95" s="30" t="n">
        <x:f>D95/B95</x:f>
        <x:v>0.4560546875</x:v>
      </x:c>
      <x:c r="I95" s="30" t="n">
        <x:f>E95/B95</x:f>
        <x:v>0.5283203125</x:v>
      </x:c>
      <x:c r="J95" s="30" t="n">
        <x:f>F95/B95</x:f>
        <x:v>0.0068359375</x:v>
      </x:c>
      <x:c r="K95" s="30" t="n">
        <x:f>H95+I95</x:f>
        <x:v>0.984375</x:v>
      </x:c>
      <x:c r="L95" s="30" t="n">
        <x:f>0.5*(ABS(G95)+ABS(H95-0.5)+ABS(I95-0.5)+ABS(J95))</x:f>
        <x:v>0.0439453125</x:v>
      </x:c>
    </x:row>
    <x:row r="96">
      <x:c r="A96" s="29" t="n">
        <x:v>93</x:v>
      </x:c>
      <x:c r="B96" s="29" t="n">
        <x:v>1024</x:v>
      </x:c>
      <x:c r="C96" s="29" t="n">
        <x:v>7</x:v>
      </x:c>
      <x:c r="D96" s="29" t="n">
        <x:v>504</x:v>
      </x:c>
      <x:c r="E96" s="29" t="n">
        <x:v>500</x:v>
      </x:c>
      <x:c r="F96" s="29" t="n">
        <x:v>13</x:v>
      </x:c>
      <x:c r="G96" s="30" t="n">
        <x:f>C96/B96</x:f>
        <x:v>0.0068359375</x:v>
      </x:c>
      <x:c r="H96" s="30" t="n">
        <x:f>D96/B96</x:f>
        <x:v>0.4921875</x:v>
      </x:c>
      <x:c r="I96" s="30" t="n">
        <x:f>E96/B96</x:f>
        <x:v>0.48828125</x:v>
      </x:c>
      <x:c r="J96" s="30" t="n">
        <x:f>F96/B96</x:f>
        <x:v>0.0126953125</x:v>
      </x:c>
      <x:c r="K96" s="30" t="n">
        <x:f>H96+I96</x:f>
        <x:v>0.98046875</x:v>
      </x:c>
      <x:c r="L96" s="30" t="n">
        <x:f>0.5*(ABS(G96)+ABS(H96-0.5)+ABS(I96-0.5)+ABS(J96))</x:f>
        <x:v>0.01953125</x:v>
      </x:c>
    </x:row>
    <x:row r="97">
      <x:c r="A97" s="29" t="n">
        <x:v>94</x:v>
      </x:c>
      <x:c r="B97" s="29" t="n">
        <x:v>1024</x:v>
      </x:c>
      <x:c r="C97" s="29" t="n">
        <x:v>11</x:v>
      </x:c>
      <x:c r="D97" s="29" t="n">
        <x:v>480</x:v>
      </x:c>
      <x:c r="E97" s="29" t="n">
        <x:v>524</x:v>
      </x:c>
      <x:c r="F97" s="29" t="n">
        <x:v>9</x:v>
      </x:c>
      <x:c r="G97" s="30" t="n">
        <x:f>C97/B97</x:f>
        <x:v>0.0107421875</x:v>
      </x:c>
      <x:c r="H97" s="30" t="n">
        <x:f>D97/B97</x:f>
        <x:v>0.46875</x:v>
      </x:c>
      <x:c r="I97" s="30" t="n">
        <x:f>E97/B97</x:f>
        <x:v>0.51171875</x:v>
      </x:c>
      <x:c r="J97" s="30" t="n">
        <x:f>F97/B97</x:f>
        <x:v>0.0087890625</x:v>
      </x:c>
      <x:c r="K97" s="30" t="n">
        <x:f>H97+I97</x:f>
        <x:v>0.98046875</x:v>
      </x:c>
      <x:c r="L97" s="30" t="n">
        <x:f>0.5*(ABS(G97)+ABS(H97-0.5)+ABS(I97-0.5)+ABS(J97))</x:f>
        <x:v>0.03125</x:v>
      </x:c>
    </x:row>
    <x:row r="98">
      <x:c r="A98" s="29" t="n">
        <x:v>95</x:v>
      </x:c>
      <x:c r="B98" s="29" t="n">
        <x:v>1024</x:v>
      </x:c>
      <x:c r="C98" s="29" t="n">
        <x:v>6</x:v>
      </x:c>
      <x:c r="D98" s="29" t="n">
        <x:v>489</x:v>
      </x:c>
      <x:c r="E98" s="29" t="n">
        <x:v>523</x:v>
      </x:c>
      <x:c r="F98" s="29" t="n">
        <x:v>6</x:v>
      </x:c>
      <x:c r="G98" s="30" t="n">
        <x:f>C98/B98</x:f>
        <x:v>0.005859375</x:v>
      </x:c>
      <x:c r="H98" s="30" t="n">
        <x:f>D98/B98</x:f>
        <x:v>0.4775390625</x:v>
      </x:c>
      <x:c r="I98" s="30" t="n">
        <x:f>E98/B98</x:f>
        <x:v>0.5107421875</x:v>
      </x:c>
      <x:c r="J98" s="30" t="n">
        <x:f>F98/B98</x:f>
        <x:v>0.005859375</x:v>
      </x:c>
      <x:c r="K98" s="30" t="n">
        <x:f>H98+I98</x:f>
        <x:v>0.98828125</x:v>
      </x:c>
      <x:c r="L98" s="30" t="n">
        <x:f>0.5*(ABS(G98)+ABS(H98-0.5)+ABS(I98-0.5)+ABS(J98))</x:f>
        <x:v>0.0224609375</x:v>
      </x:c>
    </x:row>
    <x:row r="99">
      <x:c r="A99" s="29" t="n">
        <x:v>96</x:v>
      </x:c>
      <x:c r="B99" s="29" t="n">
        <x:v>1024</x:v>
      </x:c>
      <x:c r="C99" s="29" t="n">
        <x:v>5</x:v>
      </x:c>
      <x:c r="D99" s="29" t="n">
        <x:v>485</x:v>
      </x:c>
      <x:c r="E99" s="29" t="n">
        <x:v>528</x:v>
      </x:c>
      <x:c r="F99" s="29" t="n">
        <x:v>6</x:v>
      </x:c>
      <x:c r="G99" s="30" t="n">
        <x:f>C99/B99</x:f>
        <x:v>0.0048828125</x:v>
      </x:c>
      <x:c r="H99" s="30" t="n">
        <x:f>D99/B99</x:f>
        <x:v>0.4736328125</x:v>
      </x:c>
      <x:c r="I99" s="30" t="n">
        <x:f>E99/B99</x:f>
        <x:v>0.515625</x:v>
      </x:c>
      <x:c r="J99" s="30" t="n">
        <x:f>F99/B99</x:f>
        <x:v>0.005859375</x:v>
      </x:c>
      <x:c r="K99" s="30" t="n">
        <x:f>H99+I99</x:f>
        <x:v>0.9892578125</x:v>
      </x:c>
      <x:c r="L99" s="30" t="n">
        <x:f>0.5*(ABS(G99)+ABS(H99-0.5)+ABS(I99-0.5)+ABS(J99))</x:f>
        <x:v>0.0263671875</x:v>
      </x:c>
    </x:row>
    <x:row r="100">
      <x:c r="A100" s="29" t="n">
        <x:v>97</x:v>
      </x:c>
      <x:c r="B100" s="29" t="n">
        <x:v>1024</x:v>
      </x:c>
      <x:c r="C100" s="29" t="n">
        <x:v>10</x:v>
      </x:c>
      <x:c r="D100" s="29" t="n">
        <x:v>526</x:v>
      </x:c>
      <x:c r="E100" s="29" t="n">
        <x:v>477</x:v>
      </x:c>
      <x:c r="F100" s="29" t="n">
        <x:v>11</x:v>
      </x:c>
      <x:c r="G100" s="30" t="n">
        <x:f>C100/B100</x:f>
        <x:v>0.009765625</x:v>
      </x:c>
      <x:c r="H100" s="30" t="n">
        <x:f>D100/B100</x:f>
        <x:v>0.513671875</x:v>
      </x:c>
      <x:c r="I100" s="30" t="n">
        <x:f>E100/B100</x:f>
        <x:v>0.4658203125</x:v>
      </x:c>
      <x:c r="J100" s="30" t="n">
        <x:f>F100/B100</x:f>
        <x:v>0.0107421875</x:v>
      </x:c>
      <x:c r="K100" s="30" t="n">
        <x:f>H100+I100</x:f>
        <x:v>0.9794921875</x:v>
      </x:c>
      <x:c r="L100" s="30" t="n">
        <x:f>0.5*(ABS(G100)+ABS(H100-0.5)+ABS(I100-0.5)+ABS(J100))</x:f>
        <x:v>0.0341796875</x:v>
      </x:c>
    </x:row>
    <x:row r="101">
      <x:c r="A101" s="29" t="n">
        <x:v>98</x:v>
      </x:c>
      <x:c r="B101" s="29" t="n">
        <x:v>1024</x:v>
      </x:c>
      <x:c r="C101" s="29" t="n">
        <x:v>10</x:v>
      </x:c>
      <x:c r="D101" s="29" t="n">
        <x:v>516</x:v>
      </x:c>
      <x:c r="E101" s="29" t="n">
        <x:v>488</x:v>
      </x:c>
      <x:c r="F101" s="29" t="n">
        <x:v>10</x:v>
      </x:c>
      <x:c r="G101" s="30" t="n">
        <x:f>C101/B101</x:f>
        <x:v>0.009765625</x:v>
      </x:c>
      <x:c r="H101" s="30" t="n">
        <x:f>D101/B101</x:f>
        <x:v>0.50390625</x:v>
      </x:c>
      <x:c r="I101" s="30" t="n">
        <x:f>E101/B101</x:f>
        <x:v>0.4765625</x:v>
      </x:c>
      <x:c r="J101" s="30" t="n">
        <x:f>F101/B101</x:f>
        <x:v>0.009765625</x:v>
      </x:c>
      <x:c r="K101" s="30" t="n">
        <x:f>H101+I101</x:f>
        <x:v>0.98046875</x:v>
      </x:c>
      <x:c r="L101" s="30" t="n">
        <x:f>0.5*(ABS(G101)+ABS(H101-0.5)+ABS(I101-0.5)+ABS(J101))</x:f>
        <x:v>0.0234375</x:v>
      </x:c>
    </x:row>
    <x:row r="102">
      <x:c r="A102" s="29" t="n">
        <x:v>99</x:v>
      </x:c>
      <x:c r="B102" s="29" t="n">
        <x:v>1024</x:v>
      </x:c>
      <x:c r="C102" s="29" t="n">
        <x:v>9</x:v>
      </x:c>
      <x:c r="D102" s="29" t="n">
        <x:v>523</x:v>
      </x:c>
      <x:c r="E102" s="29" t="n">
        <x:v>489</x:v>
      </x:c>
      <x:c r="F102" s="29" t="n">
        <x:v>3</x:v>
      </x:c>
      <x:c r="G102" s="30" t="n">
        <x:f>C102/B102</x:f>
        <x:v>0.0087890625</x:v>
      </x:c>
      <x:c r="H102" s="30" t="n">
        <x:f>D102/B102</x:f>
        <x:v>0.5107421875</x:v>
      </x:c>
      <x:c r="I102" s="30" t="n">
        <x:f>E102/B102</x:f>
        <x:v>0.4775390625</x:v>
      </x:c>
      <x:c r="J102" s="30" t="n">
        <x:f>F102/B102</x:f>
        <x:v>0.0029296875</x:v>
      </x:c>
      <x:c r="K102" s="30" t="n">
        <x:f>H102+I102</x:f>
        <x:v>0.98828125</x:v>
      </x:c>
      <x:c r="L102" s="30" t="n">
        <x:f>0.5*(ABS(G102)+ABS(H102-0.5)+ABS(I102-0.5)+ABS(J102))</x:f>
        <x:v>0.0224609375</x:v>
      </x:c>
    </x:row>
    <x:row r="103">
      <x:c r="A103" s="29" t="n">
        <x:v>100</x:v>
      </x:c>
      <x:c r="B103" s="29" t="n">
        <x:v>1024</x:v>
      </x:c>
      <x:c r="C103" s="29" t="n">
        <x:v>9</x:v>
      </x:c>
      <x:c r="D103" s="29" t="n">
        <x:v>499</x:v>
      </x:c>
      <x:c r="E103" s="29" t="n">
        <x:v>506</x:v>
      </x:c>
      <x:c r="F103" s="29" t="n">
        <x:v>10</x:v>
      </x:c>
      <x:c r="G103" s="30" t="n">
        <x:f>C103/B103</x:f>
        <x:v>0.0087890625</x:v>
      </x:c>
      <x:c r="H103" s="30" t="n">
        <x:f>D103/B103</x:f>
        <x:v>0.4873046875</x:v>
      </x:c>
      <x:c r="I103" s="30" t="n">
        <x:f>E103/B103</x:f>
        <x:v>0.494140625</x:v>
      </x:c>
      <x:c r="J103" s="30" t="n">
        <x:f>F103/B103</x:f>
        <x:v>0.009765625</x:v>
      </x:c>
      <x:c r="K103" s="30" t="n">
        <x:f>H103+I103</x:f>
        <x:v>0.9814453125</x:v>
      </x:c>
      <x:c r="L103" s="30" t="n">
        <x:f>0.5*(ABS(G103)+ABS(H103-0.5)+ABS(I103-0.5)+ABS(J103))</x:f>
        <x:v>0.0185546875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Raw counts and derived probabilities: (I,I)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8" t="str">
        <x:v>run</x:v>
      </x:c>
      <x:c r="B3" s="28" t="str">
        <x:v>shots</x:v>
      </x:c>
      <x:c r="C3" s="28" t="str">
        <x:v>count_00</x:v>
      </x:c>
      <x:c r="D3" s="28" t="str">
        <x:v>count_01</x:v>
      </x:c>
      <x:c r="E3" s="28" t="str">
        <x:v>count_10</x:v>
      </x:c>
      <x:c r="F3" s="28" t="str">
        <x:v>count_11</x:v>
      </x:c>
      <x:c r="G3" s="28" t="str">
        <x:v>p00</x:v>
      </x:c>
      <x:c r="H3" s="28" t="str">
        <x:v>p01</x:v>
      </x:c>
      <x:c r="I3" s="28" t="str">
        <x:v>p10</x:v>
      </x:c>
      <x:c r="J3" s="28" t="str">
        <x:v>p11</x:v>
      </x:c>
      <x:c r="K3" s="28" t="str">
        <x:v>target_probability</x:v>
      </x:c>
      <x:c r="L3" s="28" t="str">
        <x:v>TVD</x:v>
      </x:c>
    </x:row>
    <x:row r="4">
      <x:c r="A4" s="29" t="n">
        <x:v>1</x:v>
      </x:c>
      <x:c r="B4" s="29" t="n">
        <x:v>256</x:v>
      </x:c>
      <x:c r="C4" s="29" t="n">
        <x:v>252</x:v>
      </x:c>
      <x:c r="D4" s="29" t="n">
        <x:v>3</x:v>
      </x:c>
      <x:c r="E4" s="29" t="n">
        <x:v>0</x:v>
      </x:c>
      <x:c r="F4" s="29" t="n">
        <x:v>1</x:v>
      </x:c>
      <x:c r="G4" s="30" t="n">
        <x:f>C4/B4</x:f>
        <x:v>0.984375</x:v>
      </x:c>
      <x:c r="H4" s="30" t="n">
        <x:f>D4/B4</x:f>
        <x:v>0.01171875</x:v>
      </x:c>
      <x:c r="I4" s="30" t="n">
        <x:f>E4/B4</x:f>
        <x:v>0</x:v>
      </x:c>
      <x:c r="J4" s="30" t="n">
        <x:f>F4/B4</x:f>
        <x:v>0.00390625</x:v>
      </x:c>
      <x:c r="K4" s="30" t="n">
        <x:f>G4</x:f>
        <x:v>0.984375</x:v>
      </x:c>
      <x:c r="L4" s="30" t="n">
        <x:f>0.5*(ABS(G4-1.0)+ABS(H4-0.0)+ABS(I4-0.0)+ABS(J4-0.0))</x:f>
        <x:v>0.015625</x:v>
      </x:c>
    </x:row>
    <x:row r="5">
      <x:c r="A5" s="29" t="n">
        <x:v>2</x:v>
      </x:c>
      <x:c r="B5" s="29" t="n">
        <x:v>256</x:v>
      </x:c>
      <x:c r="C5" s="29" t="n">
        <x:v>252</x:v>
      </x:c>
      <x:c r="D5" s="29" t="n">
        <x:v>0</x:v>
      </x:c>
      <x:c r="E5" s="29" t="n">
        <x:v>2</x:v>
      </x:c>
      <x:c r="F5" s="29" t="n">
        <x:v>2</x:v>
      </x:c>
      <x:c r="G5" s="30" t="n">
        <x:f>C5/B5</x:f>
        <x:v>0.984375</x:v>
      </x:c>
      <x:c r="H5" s="30" t="n">
        <x:f>D5/B5</x:f>
        <x:v>0</x:v>
      </x:c>
      <x:c r="I5" s="30" t="n">
        <x:f>E5/B5</x:f>
        <x:v>0.0078125</x:v>
      </x:c>
      <x:c r="J5" s="30" t="n">
        <x:f>F5/B5</x:f>
        <x:v>0.0078125</x:v>
      </x:c>
      <x:c r="K5" s="30" t="n">
        <x:f>G5</x:f>
        <x:v>0.984375</x:v>
      </x:c>
      <x:c r="L5" s="30" t="n">
        <x:f>0.5*(ABS(G5-1.0)+ABS(H5-0.0)+ABS(I5-0.0)+ABS(J5-0.0))</x:f>
        <x:v>0.015625</x:v>
      </x:c>
    </x:row>
    <x:row r="6">
      <x:c r="A6" s="29" t="n">
        <x:v>3</x:v>
      </x:c>
      <x:c r="B6" s="29" t="n">
        <x:v>256</x:v>
      </x:c>
      <x:c r="C6" s="29" t="n">
        <x:v>254</x:v>
      </x:c>
      <x:c r="D6" s="29" t="n">
        <x:v>2</x:v>
      </x:c>
      <x:c r="E6" s="29" t="n">
        <x:v>0</x:v>
      </x:c>
      <x:c r="F6" s="29" t="n">
        <x:v>0</x:v>
      </x:c>
      <x:c r="G6" s="30" t="n">
        <x:f>C6/B6</x:f>
        <x:v>0.9921875</x:v>
      </x:c>
      <x:c r="H6" s="30" t="n">
        <x:f>D6/B6</x:f>
        <x:v>0.0078125</x:v>
      </x:c>
      <x:c r="I6" s="30" t="n">
        <x:f>E6/B6</x:f>
        <x:v>0</x:v>
      </x:c>
      <x:c r="J6" s="30" t="n">
        <x:f>F6/B6</x:f>
        <x:v>0</x:v>
      </x:c>
      <x:c r="K6" s="30" t="n">
        <x:f>G6</x:f>
        <x:v>0.9921875</x:v>
      </x:c>
      <x:c r="L6" s="30" t="n">
        <x:f>0.5*(ABS(G6-1.0)+ABS(H6-0.0)+ABS(I6-0.0)+ABS(J6-0.0))</x:f>
        <x:v>0.0078125</x:v>
      </x:c>
    </x:row>
    <x:row r="7">
      <x:c r="A7" s="29" t="n">
        <x:v>4</x:v>
      </x:c>
      <x:c r="B7" s="29" t="n">
        <x:v>256</x:v>
      </x:c>
      <x:c r="C7" s="29" t="n">
        <x:v>256</x:v>
      </x:c>
      <x:c r="D7" s="29" t="n">
        <x:v>0</x:v>
      </x:c>
      <x:c r="E7" s="29" t="n">
        <x:v>0</x:v>
      </x:c>
      <x:c r="F7" s="29" t="n">
        <x:v>0</x:v>
      </x:c>
      <x:c r="G7" s="30" t="n">
        <x:f>C7/B7</x:f>
        <x:v>1</x:v>
      </x:c>
      <x:c r="H7" s="30" t="n">
        <x:f>D7/B7</x:f>
        <x:v>0</x:v>
      </x:c>
      <x:c r="I7" s="30" t="n">
        <x:f>E7/B7</x:f>
        <x:v>0</x:v>
      </x:c>
      <x:c r="J7" s="30" t="n">
        <x:f>F7/B7</x:f>
        <x:v>0</x:v>
      </x:c>
      <x:c r="K7" s="30" t="n">
        <x:f>G7</x:f>
        <x:v>1</x:v>
      </x:c>
      <x:c r="L7" s="30" t="n">
        <x:f>0.5*(ABS(G7-1.0)+ABS(H7-0.0)+ABS(I7-0.0)+ABS(J7-0.0))</x:f>
        <x:v>0</x:v>
      </x:c>
    </x:row>
    <x:row r="8">
      <x:c r="A8" s="29" t="n">
        <x:v>5</x:v>
      </x:c>
      <x:c r="B8" s="29" t="n">
        <x:v>256</x:v>
      </x:c>
      <x:c r="C8" s="29" t="n">
        <x:v>251</x:v>
      </x:c>
      <x:c r="D8" s="29" t="n">
        <x:v>3</x:v>
      </x:c>
      <x:c r="E8" s="29" t="n">
        <x:v>1</x:v>
      </x:c>
      <x:c r="F8" s="29" t="n">
        <x:v>1</x:v>
      </x:c>
      <x:c r="G8" s="30" t="n">
        <x:f>C8/B8</x:f>
        <x:v>0.98046875</x:v>
      </x:c>
      <x:c r="H8" s="30" t="n">
        <x:f>D8/B8</x:f>
        <x:v>0.01171875</x:v>
      </x:c>
      <x:c r="I8" s="30" t="n">
        <x:f>E8/B8</x:f>
        <x:v>0.00390625</x:v>
      </x:c>
      <x:c r="J8" s="30" t="n">
        <x:f>F8/B8</x:f>
        <x:v>0.00390625</x:v>
      </x:c>
      <x:c r="K8" s="30" t="n">
        <x:f>G8</x:f>
        <x:v>0.98046875</x:v>
      </x:c>
      <x:c r="L8" s="30" t="n">
        <x:f>0.5*(ABS(G8-1.0)+ABS(H8-0.0)+ABS(I8-0.0)+ABS(J8-0.0))</x:f>
        <x:v>0.01953125</x:v>
      </x:c>
    </x:row>
    <x:row r="9">
      <x:c r="A9" s="29" t="n">
        <x:v>6</x:v>
      </x:c>
      <x:c r="B9" s="29" t="n">
        <x:v>256</x:v>
      </x:c>
      <x:c r="C9" s="29" t="n">
        <x:v>251</x:v>
      </x:c>
      <x:c r="D9" s="29" t="n">
        <x:v>1</x:v>
      </x:c>
      <x:c r="E9" s="29" t="n">
        <x:v>3</x:v>
      </x:c>
      <x:c r="F9" s="29" t="n">
        <x:v>1</x:v>
      </x:c>
      <x:c r="G9" s="30" t="n">
        <x:f>C9/B9</x:f>
        <x:v>0.98046875</x:v>
      </x:c>
      <x:c r="H9" s="30" t="n">
        <x:f>D9/B9</x:f>
        <x:v>0.00390625</x:v>
      </x:c>
      <x:c r="I9" s="30" t="n">
        <x:f>E9/B9</x:f>
        <x:v>0.01171875</x:v>
      </x:c>
      <x:c r="J9" s="30" t="n">
        <x:f>F9/B9</x:f>
        <x:v>0.00390625</x:v>
      </x:c>
      <x:c r="K9" s="30" t="n">
        <x:f>G9</x:f>
        <x:v>0.98046875</x:v>
      </x:c>
      <x:c r="L9" s="30" t="n">
        <x:f>0.5*(ABS(G9-1.0)+ABS(H9-0.0)+ABS(I9-0.0)+ABS(J9-0.0))</x:f>
        <x:v>0.01953125</x:v>
      </x:c>
    </x:row>
    <x:row r="10">
      <x:c r="A10" s="29" t="n">
        <x:v>7</x:v>
      </x:c>
      <x:c r="B10" s="29" t="n">
        <x:v>256</x:v>
      </x:c>
      <x:c r="C10" s="29" t="n">
        <x:v>256</x:v>
      </x:c>
      <x:c r="D10" s="29" t="n">
        <x:v>0</x:v>
      </x:c>
      <x:c r="E10" s="29" t="n">
        <x:v>0</x:v>
      </x:c>
      <x:c r="F10" s="29" t="n">
        <x:v>0</x:v>
      </x:c>
      <x:c r="G10" s="30" t="n">
        <x:f>C10/B10</x:f>
        <x:v>1</x:v>
      </x:c>
      <x:c r="H10" s="30" t="n">
        <x:f>D10/B10</x:f>
        <x:v>0</x:v>
      </x:c>
      <x:c r="I10" s="30" t="n">
        <x:f>E10/B10</x:f>
        <x:v>0</x:v>
      </x:c>
      <x:c r="J10" s="30" t="n">
        <x:f>F10/B10</x:f>
        <x:v>0</x:v>
      </x:c>
      <x:c r="K10" s="30" t="n">
        <x:f>G10</x:f>
        <x:v>1</x:v>
      </x:c>
      <x:c r="L10" s="30" t="n">
        <x:f>0.5*(ABS(G10-1.0)+ABS(H10-0.0)+ABS(I10-0.0)+ABS(J10-0.0))</x:f>
        <x:v>0</x:v>
      </x:c>
    </x:row>
    <x:row r="11">
      <x:c r="A11" s="29" t="n">
        <x:v>8</x:v>
      </x:c>
      <x:c r="B11" s="29" t="n">
        <x:v>256</x:v>
      </x:c>
      <x:c r="C11" s="29" t="n">
        <x:v>254</x:v>
      </x:c>
      <x:c r="D11" s="29" t="n">
        <x:v>2</x:v>
      </x:c>
      <x:c r="E11" s="29" t="n">
        <x:v>0</x:v>
      </x:c>
      <x:c r="F11" s="29" t="n">
        <x:v>0</x:v>
      </x:c>
      <x:c r="G11" s="30" t="n">
        <x:f>C11/B11</x:f>
        <x:v>0.9921875</x:v>
      </x:c>
      <x:c r="H11" s="30" t="n">
        <x:f>D11/B11</x:f>
        <x:v>0.0078125</x:v>
      </x:c>
      <x:c r="I11" s="30" t="n">
        <x:f>E11/B11</x:f>
        <x:v>0</x:v>
      </x:c>
      <x:c r="J11" s="30" t="n">
        <x:f>F11/B11</x:f>
        <x:v>0</x:v>
      </x:c>
      <x:c r="K11" s="30" t="n">
        <x:f>G11</x:f>
        <x:v>0.9921875</x:v>
      </x:c>
      <x:c r="L11" s="30" t="n">
        <x:f>0.5*(ABS(G11-1.0)+ABS(H11-0.0)+ABS(I11-0.0)+ABS(J11-0.0))</x:f>
        <x:v>0.0078125</x:v>
      </x:c>
    </x:row>
    <x:row r="12">
      <x:c r="A12" s="29" t="n">
        <x:v>9</x:v>
      </x:c>
      <x:c r="B12" s="29" t="n">
        <x:v>256</x:v>
      </x:c>
      <x:c r="C12" s="29" t="n">
        <x:v>254</x:v>
      </x:c>
      <x:c r="D12" s="29" t="n">
        <x:v>1</x:v>
      </x:c>
      <x:c r="E12" s="29" t="n">
        <x:v>0</x:v>
      </x:c>
      <x:c r="F12" s="29" t="n">
        <x:v>1</x:v>
      </x:c>
      <x:c r="G12" s="30" t="n">
        <x:f>C12/B12</x:f>
        <x:v>0.9921875</x:v>
      </x:c>
      <x:c r="H12" s="30" t="n">
        <x:f>D12/B12</x:f>
        <x:v>0.00390625</x:v>
      </x:c>
      <x:c r="I12" s="30" t="n">
        <x:f>E12/B12</x:f>
        <x:v>0</x:v>
      </x:c>
      <x:c r="J12" s="30" t="n">
        <x:f>F12/B12</x:f>
        <x:v>0.00390625</x:v>
      </x:c>
      <x:c r="K12" s="30" t="n">
        <x:f>G12</x:f>
        <x:v>0.9921875</x:v>
      </x:c>
      <x:c r="L12" s="30" t="n">
        <x:f>0.5*(ABS(G12-1.0)+ABS(H12-0.0)+ABS(I12-0.0)+ABS(J12-0.0))</x:f>
        <x:v>0.0078125</x:v>
      </x:c>
    </x:row>
    <x:row r="13">
      <x:c r="A13" s="29" t="n">
        <x:v>10</x:v>
      </x:c>
      <x:c r="B13" s="29" t="n">
        <x:v>256</x:v>
      </x:c>
      <x:c r="C13" s="29" t="n">
        <x:v>251</x:v>
      </x:c>
      <x:c r="D13" s="29" t="n">
        <x:v>2</x:v>
      </x:c>
      <x:c r="E13" s="29" t="n">
        <x:v>2</x:v>
      </x:c>
      <x:c r="F13" s="29" t="n">
        <x:v>1</x:v>
      </x:c>
      <x:c r="G13" s="30" t="n">
        <x:f>C13/B13</x:f>
        <x:v>0.98046875</x:v>
      </x:c>
      <x:c r="H13" s="30" t="n">
        <x:f>D13/B13</x:f>
        <x:v>0.0078125</x:v>
      </x:c>
      <x:c r="I13" s="30" t="n">
        <x:f>E13/B13</x:f>
        <x:v>0.0078125</x:v>
      </x:c>
      <x:c r="J13" s="30" t="n">
        <x:f>F13/B13</x:f>
        <x:v>0.00390625</x:v>
      </x:c>
      <x:c r="K13" s="30" t="n">
        <x:f>G13</x:f>
        <x:v>0.98046875</x:v>
      </x:c>
      <x:c r="L13" s="30" t="n">
        <x:f>0.5*(ABS(G13-1.0)+ABS(H13-0.0)+ABS(I13-0.0)+ABS(J13-0.0))</x:f>
        <x:v>0.01953125</x:v>
      </x:c>
    </x:row>
    <x:row r="14">
      <x:c r="A14" s="29" t="n">
        <x:v>11</x:v>
      </x:c>
      <x:c r="B14" s="29" t="n">
        <x:v>256</x:v>
      </x:c>
      <x:c r="C14" s="29" t="n">
        <x:v>255</x:v>
      </x:c>
      <x:c r="D14" s="29" t="n">
        <x:v>1</x:v>
      </x:c>
      <x:c r="E14" s="29" t="n">
        <x:v>0</x:v>
      </x:c>
      <x:c r="F14" s="29" t="n">
        <x:v>0</x:v>
      </x:c>
      <x:c r="G14" s="30" t="n">
        <x:f>C14/B14</x:f>
        <x:v>0.99609375</x:v>
      </x:c>
      <x:c r="H14" s="30" t="n">
        <x:f>D14/B14</x:f>
        <x:v>0.00390625</x:v>
      </x:c>
      <x:c r="I14" s="30" t="n">
        <x:f>E14/B14</x:f>
        <x:v>0</x:v>
      </x:c>
      <x:c r="J14" s="30" t="n">
        <x:f>F14/B14</x:f>
        <x:v>0</x:v>
      </x:c>
      <x:c r="K14" s="30" t="n">
        <x:f>G14</x:f>
        <x:v>0.99609375</x:v>
      </x:c>
      <x:c r="L14" s="30" t="n">
        <x:f>0.5*(ABS(G14-1.0)+ABS(H14-0.0)+ABS(I14-0.0)+ABS(J14-0.0))</x:f>
        <x:v>0.00390625</x:v>
      </x:c>
    </x:row>
    <x:row r="15">
      <x:c r="A15" s="29" t="n">
        <x:v>12</x:v>
      </x:c>
      <x:c r="B15" s="29" t="n">
        <x:v>256</x:v>
      </x:c>
      <x:c r="C15" s="29" t="n">
        <x:v>253</x:v>
      </x:c>
      <x:c r="D15" s="29" t="n">
        <x:v>1</x:v>
      </x:c>
      <x:c r="E15" s="29" t="n">
        <x:v>2</x:v>
      </x:c>
      <x:c r="F15" s="29" t="n">
        <x:v>0</x:v>
      </x:c>
      <x:c r="G15" s="30" t="n">
        <x:f>C15/B15</x:f>
        <x:v>0.98828125</x:v>
      </x:c>
      <x:c r="H15" s="30" t="n">
        <x:f>D15/B15</x:f>
        <x:v>0.00390625</x:v>
      </x:c>
      <x:c r="I15" s="30" t="n">
        <x:f>E15/B15</x:f>
        <x:v>0.0078125</x:v>
      </x:c>
      <x:c r="J15" s="30" t="n">
        <x:f>F15/B15</x:f>
        <x:v>0</x:v>
      </x:c>
      <x:c r="K15" s="30" t="n">
        <x:f>G15</x:f>
        <x:v>0.98828125</x:v>
      </x:c>
      <x:c r="L15" s="30" t="n">
        <x:f>0.5*(ABS(G15-1.0)+ABS(H15-0.0)+ABS(I15-0.0)+ABS(J15-0.0))</x:f>
        <x:v>0.01171875</x:v>
      </x:c>
    </x:row>
    <x:row r="16">
      <x:c r="A16" s="29" t="n">
        <x:v>13</x:v>
      </x:c>
      <x:c r="B16" s="29" t="n">
        <x:v>256</x:v>
      </x:c>
      <x:c r="C16" s="29" t="n">
        <x:v>256</x:v>
      </x:c>
      <x:c r="D16" s="29" t="n">
        <x:v>0</x:v>
      </x:c>
      <x:c r="E16" s="29" t="n">
        <x:v>0</x:v>
      </x:c>
      <x:c r="F16" s="29" t="n">
        <x:v>0</x:v>
      </x:c>
      <x:c r="G16" s="30" t="n">
        <x:f>C16/B16</x:f>
        <x:v>1</x:v>
      </x:c>
      <x:c r="H16" s="30" t="n">
        <x:f>D16/B16</x:f>
        <x:v>0</x:v>
      </x:c>
      <x:c r="I16" s="30" t="n">
        <x:f>E16/B16</x:f>
        <x:v>0</x:v>
      </x:c>
      <x:c r="J16" s="30" t="n">
        <x:f>F16/B16</x:f>
        <x:v>0</x:v>
      </x:c>
      <x:c r="K16" s="30" t="n">
        <x:f>G16</x:f>
        <x:v>1</x:v>
      </x:c>
      <x:c r="L16" s="30" t="n">
        <x:f>0.5*(ABS(G16-1.0)+ABS(H16-0.0)+ABS(I16-0.0)+ABS(J16-0.0))</x:f>
        <x:v>0</x:v>
      </x:c>
    </x:row>
    <x:row r="17">
      <x:c r="A17" s="29" t="n">
        <x:v>14</x:v>
      </x:c>
      <x:c r="B17" s="29" t="n">
        <x:v>256</x:v>
      </x:c>
      <x:c r="C17" s="29" t="n">
        <x:v>252</x:v>
      </x:c>
      <x:c r="D17" s="29" t="n">
        <x:v>1</x:v>
      </x:c>
      <x:c r="E17" s="29" t="n">
        <x:v>3</x:v>
      </x:c>
      <x:c r="F17" s="29" t="n">
        <x:v>0</x:v>
      </x:c>
      <x:c r="G17" s="30" t="n">
        <x:f>C17/B17</x:f>
        <x:v>0.984375</x:v>
      </x:c>
      <x:c r="H17" s="30" t="n">
        <x:f>D17/B17</x:f>
        <x:v>0.00390625</x:v>
      </x:c>
      <x:c r="I17" s="30" t="n">
        <x:f>E17/B17</x:f>
        <x:v>0.01171875</x:v>
      </x:c>
      <x:c r="J17" s="30" t="n">
        <x:f>F17/B17</x:f>
        <x:v>0</x:v>
      </x:c>
      <x:c r="K17" s="30" t="n">
        <x:f>G17</x:f>
        <x:v>0.984375</x:v>
      </x:c>
      <x:c r="L17" s="30" t="n">
        <x:f>0.5*(ABS(G17-1.0)+ABS(H17-0.0)+ABS(I17-0.0)+ABS(J17-0.0))</x:f>
        <x:v>0.015625</x:v>
      </x:c>
    </x:row>
    <x:row r="18">
      <x:c r="A18" s="29" t="n">
        <x:v>15</x:v>
      </x:c>
      <x:c r="B18" s="29" t="n">
        <x:v>256</x:v>
      </x:c>
      <x:c r="C18" s="29" t="n">
        <x:v>255</x:v>
      </x:c>
      <x:c r="D18" s="29" t="n">
        <x:v>1</x:v>
      </x:c>
      <x:c r="E18" s="29" t="n">
        <x:v>0</x:v>
      </x:c>
      <x:c r="F18" s="29" t="n">
        <x:v>0</x:v>
      </x:c>
      <x:c r="G18" s="30" t="n">
        <x:f>C18/B18</x:f>
        <x:v>0.99609375</x:v>
      </x:c>
      <x:c r="H18" s="30" t="n">
        <x:f>D18/B18</x:f>
        <x:v>0.00390625</x:v>
      </x:c>
      <x:c r="I18" s="30" t="n">
        <x:f>E18/B18</x:f>
        <x:v>0</x:v>
      </x:c>
      <x:c r="J18" s="30" t="n">
        <x:f>F18/B18</x:f>
        <x:v>0</x:v>
      </x:c>
      <x:c r="K18" s="30" t="n">
        <x:f>G18</x:f>
        <x:v>0.99609375</x:v>
      </x:c>
      <x:c r="L18" s="30" t="n">
        <x:f>0.5*(ABS(G18-1.0)+ABS(H18-0.0)+ABS(I18-0.0)+ABS(J18-0.0))</x:f>
        <x:v>0.00390625</x:v>
      </x:c>
    </x:row>
    <x:row r="19">
      <x:c r="A19" s="29" t="n">
        <x:v>16</x:v>
      </x:c>
      <x:c r="B19" s="29" t="n">
        <x:v>256</x:v>
      </x:c>
      <x:c r="C19" s="29" t="n">
        <x:v>254</x:v>
      </x:c>
      <x:c r="D19" s="29" t="n">
        <x:v>1</x:v>
      </x:c>
      <x:c r="E19" s="29" t="n">
        <x:v>1</x:v>
      </x:c>
      <x:c r="F19" s="29" t="n">
        <x:v>0</x:v>
      </x:c>
      <x:c r="G19" s="30" t="n">
        <x:f>C19/B19</x:f>
        <x:v>0.9921875</x:v>
      </x:c>
      <x:c r="H19" s="30" t="n">
        <x:f>D19/B19</x:f>
        <x:v>0.00390625</x:v>
      </x:c>
      <x:c r="I19" s="30" t="n">
        <x:f>E19/B19</x:f>
        <x:v>0.00390625</x:v>
      </x:c>
      <x:c r="J19" s="30" t="n">
        <x:f>F19/B19</x:f>
        <x:v>0</x:v>
      </x:c>
      <x:c r="K19" s="30" t="n">
        <x:f>G19</x:f>
        <x:v>0.9921875</x:v>
      </x:c>
      <x:c r="L19" s="30" t="n">
        <x:f>0.5*(ABS(G19-1.0)+ABS(H19-0.0)+ABS(I19-0.0)+ABS(J19-0.0))</x:f>
        <x:v>0.0078125</x:v>
      </x:c>
    </x:row>
    <x:row r="20">
      <x:c r="A20" s="29" t="n">
        <x:v>17</x:v>
      </x:c>
      <x:c r="B20" s="29" t="n">
        <x:v>256</x:v>
      </x:c>
      <x:c r="C20" s="29" t="n">
        <x:v>254</x:v>
      </x:c>
      <x:c r="D20" s="29" t="n">
        <x:v>2</x:v>
      </x:c>
      <x:c r="E20" s="29" t="n">
        <x:v>0</x:v>
      </x:c>
      <x:c r="F20" s="29" t="n">
        <x:v>0</x:v>
      </x:c>
      <x:c r="G20" s="30" t="n">
        <x:f>C20/B20</x:f>
        <x:v>0.9921875</x:v>
      </x:c>
      <x:c r="H20" s="30" t="n">
        <x:f>D20/B20</x:f>
        <x:v>0.0078125</x:v>
      </x:c>
      <x:c r="I20" s="30" t="n">
        <x:f>E20/B20</x:f>
        <x:v>0</x:v>
      </x:c>
      <x:c r="J20" s="30" t="n">
        <x:f>F20/B20</x:f>
        <x:v>0</x:v>
      </x:c>
      <x:c r="K20" s="30" t="n">
        <x:f>G20</x:f>
        <x:v>0.9921875</x:v>
      </x:c>
      <x:c r="L20" s="30" t="n">
        <x:f>0.5*(ABS(G20-1.0)+ABS(H20-0.0)+ABS(I20-0.0)+ABS(J20-0.0))</x:f>
        <x:v>0.0078125</x:v>
      </x:c>
    </x:row>
    <x:row r="21">
      <x:c r="A21" s="29" t="n">
        <x:v>18</x:v>
      </x:c>
      <x:c r="B21" s="29" t="n">
        <x:v>256</x:v>
      </x:c>
      <x:c r="C21" s="29" t="n">
        <x:v>256</x:v>
      </x:c>
      <x:c r="D21" s="29" t="n">
        <x:v>0</x:v>
      </x:c>
      <x:c r="E21" s="29" t="n">
        <x:v>0</x:v>
      </x:c>
      <x:c r="F21" s="29" t="n">
        <x:v>0</x:v>
      </x:c>
      <x:c r="G21" s="30" t="n">
        <x:f>C21/B21</x:f>
        <x:v>1</x:v>
      </x:c>
      <x:c r="H21" s="30" t="n">
        <x:f>D21/B21</x:f>
        <x:v>0</x:v>
      </x:c>
      <x:c r="I21" s="30" t="n">
        <x:f>E21/B21</x:f>
        <x:v>0</x:v>
      </x:c>
      <x:c r="J21" s="30" t="n">
        <x:f>F21/B21</x:f>
        <x:v>0</x:v>
      </x:c>
      <x:c r="K21" s="30" t="n">
        <x:f>G21</x:f>
        <x:v>1</x:v>
      </x:c>
      <x:c r="L21" s="30" t="n">
        <x:f>0.5*(ABS(G21-1.0)+ABS(H21-0.0)+ABS(I21-0.0)+ABS(J21-0.0))</x:f>
        <x:v>0</x:v>
      </x:c>
    </x:row>
    <x:row r="22">
      <x:c r="A22" s="29" t="n">
        <x:v>19</x:v>
      </x:c>
      <x:c r="B22" s="29" t="n">
        <x:v>256</x:v>
      </x:c>
      <x:c r="C22" s="29" t="n">
        <x:v>253</x:v>
      </x:c>
      <x:c r="D22" s="29" t="n">
        <x:v>1</x:v>
      </x:c>
      <x:c r="E22" s="29" t="n">
        <x:v>1</x:v>
      </x:c>
      <x:c r="F22" s="29" t="n">
        <x:v>1</x:v>
      </x:c>
      <x:c r="G22" s="30" t="n">
        <x:f>C22/B22</x:f>
        <x:v>0.98828125</x:v>
      </x:c>
      <x:c r="H22" s="30" t="n">
        <x:f>D22/B22</x:f>
        <x:v>0.00390625</x:v>
      </x:c>
      <x:c r="I22" s="30" t="n">
        <x:f>E22/B22</x:f>
        <x:v>0.00390625</x:v>
      </x:c>
      <x:c r="J22" s="30" t="n">
        <x:f>F22/B22</x:f>
        <x:v>0.00390625</x:v>
      </x:c>
      <x:c r="K22" s="30" t="n">
        <x:f>G22</x:f>
        <x:v>0.98828125</x:v>
      </x:c>
      <x:c r="L22" s="30" t="n">
        <x:f>0.5*(ABS(G22-1.0)+ABS(H22-0.0)+ABS(I22-0.0)+ABS(J22-0.0))</x:f>
        <x:v>0.01171875</x:v>
      </x:c>
    </x:row>
    <x:row r="23">
      <x:c r="A23" s="29" t="n">
        <x:v>20</x:v>
      </x:c>
      <x:c r="B23" s="29" t="n">
        <x:v>256</x:v>
      </x:c>
      <x:c r="C23" s="29" t="n">
        <x:v>253</x:v>
      </x:c>
      <x:c r="D23" s="29" t="n">
        <x:v>1</x:v>
      </x:c>
      <x:c r="E23" s="29" t="n">
        <x:v>2</x:v>
      </x:c>
      <x:c r="F23" s="29" t="n">
        <x:v>0</x:v>
      </x:c>
      <x:c r="G23" s="30" t="n">
        <x:f>C23/B23</x:f>
        <x:v>0.98828125</x:v>
      </x:c>
      <x:c r="H23" s="30" t="n">
        <x:f>D23/B23</x:f>
        <x:v>0.00390625</x:v>
      </x:c>
      <x:c r="I23" s="30" t="n">
        <x:f>E23/B23</x:f>
        <x:v>0.0078125</x:v>
      </x:c>
      <x:c r="J23" s="30" t="n">
        <x:f>F23/B23</x:f>
        <x:v>0</x:v>
      </x:c>
      <x:c r="K23" s="30" t="n">
        <x:f>G23</x:f>
        <x:v>0.98828125</x:v>
      </x:c>
      <x:c r="L23" s="30" t="n">
        <x:f>0.5*(ABS(G23-1.0)+ABS(H23-0.0)+ABS(I23-0.0)+ABS(J23-0.0))</x:f>
        <x:v>0.01171875</x:v>
      </x:c>
    </x:row>
    <x:row r="24">
      <x:c r="A24" s="29" t="n">
        <x:v>21</x:v>
      </x:c>
      <x:c r="B24" s="29" t="n">
        <x:v>256</x:v>
      </x:c>
      <x:c r="C24" s="29" t="n">
        <x:v>253</x:v>
      </x:c>
      <x:c r="D24" s="29" t="n">
        <x:v>2</x:v>
      </x:c>
      <x:c r="E24" s="29" t="n">
        <x:v>1</x:v>
      </x:c>
      <x:c r="F24" s="29" t="n">
        <x:v>0</x:v>
      </x:c>
      <x:c r="G24" s="30" t="n">
        <x:f>C24/B24</x:f>
        <x:v>0.98828125</x:v>
      </x:c>
      <x:c r="H24" s="30" t="n">
        <x:f>D24/B24</x:f>
        <x:v>0.0078125</x:v>
      </x:c>
      <x:c r="I24" s="30" t="n">
        <x:f>E24/B24</x:f>
        <x:v>0.00390625</x:v>
      </x:c>
      <x:c r="J24" s="30" t="n">
        <x:f>F24/B24</x:f>
        <x:v>0</x:v>
      </x:c>
      <x:c r="K24" s="30" t="n">
        <x:f>G24</x:f>
        <x:v>0.98828125</x:v>
      </x:c>
      <x:c r="L24" s="30" t="n">
        <x:f>0.5*(ABS(G24-1.0)+ABS(H24-0.0)+ABS(I24-0.0)+ABS(J24-0.0))</x:f>
        <x:v>0.01171875</x:v>
      </x:c>
    </x:row>
    <x:row r="25">
      <x:c r="A25" s="29" t="n">
        <x:v>22</x:v>
      </x:c>
      <x:c r="B25" s="29" t="n">
        <x:v>256</x:v>
      </x:c>
      <x:c r="C25" s="29" t="n">
        <x:v>256</x:v>
      </x:c>
      <x:c r="D25" s="29" t="n">
        <x:v>0</x:v>
      </x:c>
      <x:c r="E25" s="29" t="n">
        <x:v>0</x:v>
      </x:c>
      <x:c r="F25" s="29" t="n">
        <x:v>0</x:v>
      </x:c>
      <x:c r="G25" s="30" t="n">
        <x:f>C25/B25</x:f>
        <x:v>1</x:v>
      </x:c>
      <x:c r="H25" s="30" t="n">
        <x:f>D25/B25</x:f>
        <x:v>0</x:v>
      </x:c>
      <x:c r="I25" s="30" t="n">
        <x:f>E25/B25</x:f>
        <x:v>0</x:v>
      </x:c>
      <x:c r="J25" s="30" t="n">
        <x:f>F25/B25</x:f>
        <x:v>0</x:v>
      </x:c>
      <x:c r="K25" s="30" t="n">
        <x:f>G25</x:f>
        <x:v>1</x:v>
      </x:c>
      <x:c r="L25" s="30" t="n">
        <x:f>0.5*(ABS(G25-1.0)+ABS(H25-0.0)+ABS(I25-0.0)+ABS(J25-0.0))</x:f>
        <x:v>0</x:v>
      </x:c>
    </x:row>
    <x:row r="26">
      <x:c r="A26" s="29" t="n">
        <x:v>23</x:v>
      </x:c>
      <x:c r="B26" s="29" t="n">
        <x:v>256</x:v>
      </x:c>
      <x:c r="C26" s="29" t="n">
        <x:v>254</x:v>
      </x:c>
      <x:c r="D26" s="29" t="n">
        <x:v>2</x:v>
      </x:c>
      <x:c r="E26" s="29" t="n">
        <x:v>0</x:v>
      </x:c>
      <x:c r="F26" s="29" t="n">
        <x:v>0</x:v>
      </x:c>
      <x:c r="G26" s="30" t="n">
        <x:f>C26/B26</x:f>
        <x:v>0.9921875</x:v>
      </x:c>
      <x:c r="H26" s="30" t="n">
        <x:f>D26/B26</x:f>
        <x:v>0.0078125</x:v>
      </x:c>
      <x:c r="I26" s="30" t="n">
        <x:f>E26/B26</x:f>
        <x:v>0</x:v>
      </x:c>
      <x:c r="J26" s="30" t="n">
        <x:f>F26/B26</x:f>
        <x:v>0</x:v>
      </x:c>
      <x:c r="K26" s="30" t="n">
        <x:f>G26</x:f>
        <x:v>0.9921875</x:v>
      </x:c>
      <x:c r="L26" s="30" t="n">
        <x:f>0.5*(ABS(G26-1.0)+ABS(H26-0.0)+ABS(I26-0.0)+ABS(J26-0.0))</x:f>
        <x:v>0.0078125</x:v>
      </x:c>
    </x:row>
    <x:row r="27">
      <x:c r="A27" s="29" t="n">
        <x:v>24</x:v>
      </x:c>
      <x:c r="B27" s="29" t="n">
        <x:v>256</x:v>
      </x:c>
      <x:c r="C27" s="29" t="n">
        <x:v>254</x:v>
      </x:c>
      <x:c r="D27" s="29" t="n">
        <x:v>2</x:v>
      </x:c>
      <x:c r="E27" s="29" t="n">
        <x:v>0</x:v>
      </x:c>
      <x:c r="F27" s="29" t="n">
        <x:v>0</x:v>
      </x:c>
      <x:c r="G27" s="30" t="n">
        <x:f>C27/B27</x:f>
        <x:v>0.9921875</x:v>
      </x:c>
      <x:c r="H27" s="30" t="n">
        <x:f>D27/B27</x:f>
        <x:v>0.0078125</x:v>
      </x:c>
      <x:c r="I27" s="30" t="n">
        <x:f>E27/B27</x:f>
        <x:v>0</x:v>
      </x:c>
      <x:c r="J27" s="30" t="n">
        <x:f>F27/B27</x:f>
        <x:v>0</x:v>
      </x:c>
      <x:c r="K27" s="30" t="n">
        <x:f>G27</x:f>
        <x:v>0.9921875</x:v>
      </x:c>
      <x:c r="L27" s="30" t="n">
        <x:f>0.5*(ABS(G27-1.0)+ABS(H27-0.0)+ABS(I27-0.0)+ABS(J27-0.0))</x:f>
        <x:v>0.0078125</x:v>
      </x:c>
    </x:row>
    <x:row r="28">
      <x:c r="A28" s="29" t="n">
        <x:v>25</x:v>
      </x:c>
      <x:c r="B28" s="29" t="n">
        <x:v>256</x:v>
      </x:c>
      <x:c r="C28" s="29" t="n">
        <x:v>255</x:v>
      </x:c>
      <x:c r="D28" s="29" t="n">
        <x:v>1</x:v>
      </x:c>
      <x:c r="E28" s="29" t="n">
        <x:v>0</x:v>
      </x:c>
      <x:c r="F28" s="29" t="n">
        <x:v>0</x:v>
      </x:c>
      <x:c r="G28" s="30" t="n">
        <x:f>C28/B28</x:f>
        <x:v>0.99609375</x:v>
      </x:c>
      <x:c r="H28" s="30" t="n">
        <x:f>D28/B28</x:f>
        <x:v>0.00390625</x:v>
      </x:c>
      <x:c r="I28" s="30" t="n">
        <x:f>E28/B28</x:f>
        <x:v>0</x:v>
      </x:c>
      <x:c r="J28" s="30" t="n">
        <x:f>F28/B28</x:f>
        <x:v>0</x:v>
      </x:c>
      <x:c r="K28" s="30" t="n">
        <x:f>G28</x:f>
        <x:v>0.99609375</x:v>
      </x:c>
      <x:c r="L28" s="30" t="n">
        <x:f>0.5*(ABS(G28-1.0)+ABS(H28-0.0)+ABS(I28-0.0)+ABS(J28-0.0))</x:f>
        <x:v>0.00390625</x:v>
      </x:c>
    </x:row>
    <x:row r="29">
      <x:c r="A29" s="29" t="n">
        <x:v>26</x:v>
      </x:c>
      <x:c r="B29" s="29" t="n">
        <x:v>256</x:v>
      </x:c>
      <x:c r="C29" s="29" t="n">
        <x:v>255</x:v>
      </x:c>
      <x:c r="D29" s="29" t="n">
        <x:v>1</x:v>
      </x:c>
      <x:c r="E29" s="29" t="n">
        <x:v>0</x:v>
      </x:c>
      <x:c r="F29" s="29" t="n">
        <x:v>0</x:v>
      </x:c>
      <x:c r="G29" s="30" t="n">
        <x:f>C29/B29</x:f>
        <x:v>0.99609375</x:v>
      </x:c>
      <x:c r="H29" s="30" t="n">
        <x:f>D29/B29</x:f>
        <x:v>0.00390625</x:v>
      </x:c>
      <x:c r="I29" s="30" t="n">
        <x:f>E29/B29</x:f>
        <x:v>0</x:v>
      </x:c>
      <x:c r="J29" s="30" t="n">
        <x:f>F29/B29</x:f>
        <x:v>0</x:v>
      </x:c>
      <x:c r="K29" s="30" t="n">
        <x:f>G29</x:f>
        <x:v>0.99609375</x:v>
      </x:c>
      <x:c r="L29" s="30" t="n">
        <x:f>0.5*(ABS(G29-1.0)+ABS(H29-0.0)+ABS(I29-0.0)+ABS(J29-0.0))</x:f>
        <x:v>0.00390625</x:v>
      </x:c>
    </x:row>
    <x:row r="30">
      <x:c r="A30" s="29" t="n">
        <x:v>27</x:v>
      </x:c>
      <x:c r="B30" s="29" t="n">
        <x:v>256</x:v>
      </x:c>
      <x:c r="C30" s="29" t="n">
        <x:v>254</x:v>
      </x:c>
      <x:c r="D30" s="29" t="n">
        <x:v>0</x:v>
      </x:c>
      <x:c r="E30" s="29" t="n">
        <x:v>1</x:v>
      </x:c>
      <x:c r="F30" s="29" t="n">
        <x:v>1</x:v>
      </x:c>
      <x:c r="G30" s="30" t="n">
        <x:f>C30/B30</x:f>
        <x:v>0.9921875</x:v>
      </x:c>
      <x:c r="H30" s="30" t="n">
        <x:f>D30/B30</x:f>
        <x:v>0</x:v>
      </x:c>
      <x:c r="I30" s="30" t="n">
        <x:f>E30/B30</x:f>
        <x:v>0.00390625</x:v>
      </x:c>
      <x:c r="J30" s="30" t="n">
        <x:f>F30/B30</x:f>
        <x:v>0.00390625</x:v>
      </x:c>
      <x:c r="K30" s="30" t="n">
        <x:f>G30</x:f>
        <x:v>0.9921875</x:v>
      </x:c>
      <x:c r="L30" s="30" t="n">
        <x:f>0.5*(ABS(G30-1.0)+ABS(H30-0.0)+ABS(I30-0.0)+ABS(J30-0.0))</x:f>
        <x:v>0.0078125</x:v>
      </x:c>
    </x:row>
    <x:row r="31">
      <x:c r="A31" s="29" t="n">
        <x:v>28</x:v>
      </x:c>
      <x:c r="B31" s="29" t="n">
        <x:v>256</x:v>
      </x:c>
      <x:c r="C31" s="29" t="n">
        <x:v>253</x:v>
      </x:c>
      <x:c r="D31" s="29" t="n">
        <x:v>1</x:v>
      </x:c>
      <x:c r="E31" s="29" t="n">
        <x:v>0</x:v>
      </x:c>
      <x:c r="F31" s="29" t="n">
        <x:v>2</x:v>
      </x:c>
      <x:c r="G31" s="30" t="n">
        <x:f>C31/B31</x:f>
        <x:v>0.98828125</x:v>
      </x:c>
      <x:c r="H31" s="30" t="n">
        <x:f>D31/B31</x:f>
        <x:v>0.00390625</x:v>
      </x:c>
      <x:c r="I31" s="30" t="n">
        <x:f>E31/B31</x:f>
        <x:v>0</x:v>
      </x:c>
      <x:c r="J31" s="30" t="n">
        <x:f>F31/B31</x:f>
        <x:v>0.0078125</x:v>
      </x:c>
      <x:c r="K31" s="30" t="n">
        <x:f>G31</x:f>
        <x:v>0.98828125</x:v>
      </x:c>
      <x:c r="L31" s="30" t="n">
        <x:f>0.5*(ABS(G31-1.0)+ABS(H31-0.0)+ABS(I31-0.0)+ABS(J31-0.0))</x:f>
        <x:v>0.01171875</x:v>
      </x:c>
    </x:row>
    <x:row r="32">
      <x:c r="A32" s="29" t="n">
        <x:v>29</x:v>
      </x:c>
      <x:c r="B32" s="29" t="n">
        <x:v>256</x:v>
      </x:c>
      <x:c r="C32" s="29" t="n">
        <x:v>252</x:v>
      </x:c>
      <x:c r="D32" s="29" t="n">
        <x:v>2</x:v>
      </x:c>
      <x:c r="E32" s="29" t="n">
        <x:v>2</x:v>
      </x:c>
      <x:c r="F32" s="29" t="n">
        <x:v>0</x:v>
      </x:c>
      <x:c r="G32" s="30" t="n">
        <x:f>C32/B32</x:f>
        <x:v>0.984375</x:v>
      </x:c>
      <x:c r="H32" s="30" t="n">
        <x:f>D32/B32</x:f>
        <x:v>0.0078125</x:v>
      </x:c>
      <x:c r="I32" s="30" t="n">
        <x:f>E32/B32</x:f>
        <x:v>0.0078125</x:v>
      </x:c>
      <x:c r="J32" s="30" t="n">
        <x:f>F32/B32</x:f>
        <x:v>0</x:v>
      </x:c>
      <x:c r="K32" s="30" t="n">
        <x:f>G32</x:f>
        <x:v>0.984375</x:v>
      </x:c>
      <x:c r="L32" s="30" t="n">
        <x:f>0.5*(ABS(G32-1.0)+ABS(H32-0.0)+ABS(I32-0.0)+ABS(J32-0.0))</x:f>
        <x:v>0.015625</x:v>
      </x:c>
    </x:row>
    <x:row r="33">
      <x:c r="A33" s="29" t="n">
        <x:v>30</x:v>
      </x:c>
      <x:c r="B33" s="29" t="n">
        <x:v>256</x:v>
      </x:c>
      <x:c r="C33" s="29" t="n">
        <x:v>252</x:v>
      </x:c>
      <x:c r="D33" s="29" t="n">
        <x:v>1</x:v>
      </x:c>
      <x:c r="E33" s="29" t="n">
        <x:v>2</x:v>
      </x:c>
      <x:c r="F33" s="29" t="n">
        <x:v>1</x:v>
      </x:c>
      <x:c r="G33" s="30" t="n">
        <x:f>C33/B33</x:f>
        <x:v>0.984375</x:v>
      </x:c>
      <x:c r="H33" s="30" t="n">
        <x:f>D33/B33</x:f>
        <x:v>0.00390625</x:v>
      </x:c>
      <x:c r="I33" s="30" t="n">
        <x:f>E33/B33</x:f>
        <x:v>0.0078125</x:v>
      </x:c>
      <x:c r="J33" s="30" t="n">
        <x:f>F33/B33</x:f>
        <x:v>0.00390625</x:v>
      </x:c>
      <x:c r="K33" s="30" t="n">
        <x:f>G33</x:f>
        <x:v>0.984375</x:v>
      </x:c>
      <x:c r="L33" s="30" t="n">
        <x:f>0.5*(ABS(G33-1.0)+ABS(H33-0.0)+ABS(I33-0.0)+ABS(J33-0.0))</x:f>
        <x:v>0.015625</x:v>
      </x:c>
    </x:row>
    <x:row r="34">
      <x:c r="A34" s="29" t="n">
        <x:v>31</x:v>
      </x:c>
      <x:c r="B34" s="29" t="n">
        <x:v>256</x:v>
      </x:c>
      <x:c r="C34" s="29" t="n">
        <x:v>252</x:v>
      </x:c>
      <x:c r="D34" s="29" t="n">
        <x:v>1</x:v>
      </x:c>
      <x:c r="E34" s="29" t="n">
        <x:v>3</x:v>
      </x:c>
      <x:c r="F34" s="29" t="n">
        <x:v>0</x:v>
      </x:c>
      <x:c r="G34" s="30" t="n">
        <x:f>C34/B34</x:f>
        <x:v>0.984375</x:v>
      </x:c>
      <x:c r="H34" s="30" t="n">
        <x:f>D34/B34</x:f>
        <x:v>0.00390625</x:v>
      </x:c>
      <x:c r="I34" s="30" t="n">
        <x:f>E34/B34</x:f>
        <x:v>0.01171875</x:v>
      </x:c>
      <x:c r="J34" s="30" t="n">
        <x:f>F34/B34</x:f>
        <x:v>0</x:v>
      </x:c>
      <x:c r="K34" s="30" t="n">
        <x:f>G34</x:f>
        <x:v>0.984375</x:v>
      </x:c>
      <x:c r="L34" s="30" t="n">
        <x:f>0.5*(ABS(G34-1.0)+ABS(H34-0.0)+ABS(I34-0.0)+ABS(J34-0.0))</x:f>
        <x:v>0.015625</x:v>
      </x:c>
    </x:row>
    <x:row r="35">
      <x:c r="A35" s="29" t="n">
        <x:v>32</x:v>
      </x:c>
      <x:c r="B35" s="29" t="n">
        <x:v>256</x:v>
      </x:c>
      <x:c r="C35" s="29" t="n">
        <x:v>253</x:v>
      </x:c>
      <x:c r="D35" s="29" t="n">
        <x:v>0</x:v>
      </x:c>
      <x:c r="E35" s="29" t="n">
        <x:v>3</x:v>
      </x:c>
      <x:c r="F35" s="29" t="n">
        <x:v>0</x:v>
      </x:c>
      <x:c r="G35" s="30" t="n">
        <x:f>C35/B35</x:f>
        <x:v>0.98828125</x:v>
      </x:c>
      <x:c r="H35" s="30" t="n">
        <x:f>D35/B35</x:f>
        <x:v>0</x:v>
      </x:c>
      <x:c r="I35" s="30" t="n">
        <x:f>E35/B35</x:f>
        <x:v>0.01171875</x:v>
      </x:c>
      <x:c r="J35" s="30" t="n">
        <x:f>F35/B35</x:f>
        <x:v>0</x:v>
      </x:c>
      <x:c r="K35" s="30" t="n">
        <x:f>G35</x:f>
        <x:v>0.98828125</x:v>
      </x:c>
      <x:c r="L35" s="30" t="n">
        <x:f>0.5*(ABS(G35-1.0)+ABS(H35-0.0)+ABS(I35-0.0)+ABS(J35-0.0))</x:f>
        <x:v>0.01171875</x:v>
      </x:c>
    </x:row>
    <x:row r="36">
      <x:c r="A36" s="29" t="n">
        <x:v>33</x:v>
      </x:c>
      <x:c r="B36" s="29" t="n">
        <x:v>256</x:v>
      </x:c>
      <x:c r="C36" s="29" t="n">
        <x:v>254</x:v>
      </x:c>
      <x:c r="D36" s="29" t="n">
        <x:v>0</x:v>
      </x:c>
      <x:c r="E36" s="29" t="n">
        <x:v>2</x:v>
      </x:c>
      <x:c r="F36" s="29" t="n">
        <x:v>0</x:v>
      </x:c>
      <x:c r="G36" s="30" t="n">
        <x:f>C36/B36</x:f>
        <x:v>0.9921875</x:v>
      </x:c>
      <x:c r="H36" s="30" t="n">
        <x:f>D36/B36</x:f>
        <x:v>0</x:v>
      </x:c>
      <x:c r="I36" s="30" t="n">
        <x:f>E36/B36</x:f>
        <x:v>0.0078125</x:v>
      </x:c>
      <x:c r="J36" s="30" t="n">
        <x:f>F36/B36</x:f>
        <x:v>0</x:v>
      </x:c>
      <x:c r="K36" s="30" t="n">
        <x:f>G36</x:f>
        <x:v>0.9921875</x:v>
      </x:c>
      <x:c r="L36" s="30" t="n">
        <x:f>0.5*(ABS(G36-1.0)+ABS(H36-0.0)+ABS(I36-0.0)+ABS(J36-0.0))</x:f>
        <x:v>0.0078125</x:v>
      </x:c>
    </x:row>
    <x:row r="37">
      <x:c r="A37" s="29" t="n">
        <x:v>34</x:v>
      </x:c>
      <x:c r="B37" s="29" t="n">
        <x:v>256</x:v>
      </x:c>
      <x:c r="C37" s="29" t="n">
        <x:v>255</x:v>
      </x:c>
      <x:c r="D37" s="29" t="n">
        <x:v>0</x:v>
      </x:c>
      <x:c r="E37" s="29" t="n">
        <x:v>1</x:v>
      </x:c>
      <x:c r="F37" s="29" t="n">
        <x:v>0</x:v>
      </x:c>
      <x:c r="G37" s="30" t="n">
        <x:f>C37/B37</x:f>
        <x:v>0.99609375</x:v>
      </x:c>
      <x:c r="H37" s="30" t="n">
        <x:f>D37/B37</x:f>
        <x:v>0</x:v>
      </x:c>
      <x:c r="I37" s="30" t="n">
        <x:f>E37/B37</x:f>
        <x:v>0.00390625</x:v>
      </x:c>
      <x:c r="J37" s="30" t="n">
        <x:f>F37/B37</x:f>
        <x:v>0</x:v>
      </x:c>
      <x:c r="K37" s="30" t="n">
        <x:f>G37</x:f>
        <x:v>0.99609375</x:v>
      </x:c>
      <x:c r="L37" s="30" t="n">
        <x:f>0.5*(ABS(G37-1.0)+ABS(H37-0.0)+ABS(I37-0.0)+ABS(J37-0.0))</x:f>
        <x:v>0.00390625</x:v>
      </x:c>
    </x:row>
    <x:row r="38">
      <x:c r="A38" s="29" t="n">
        <x:v>35</x:v>
      </x:c>
      <x:c r="B38" s="29" t="n">
        <x:v>256</x:v>
      </x:c>
      <x:c r="C38" s="29" t="n">
        <x:v>255</x:v>
      </x:c>
      <x:c r="D38" s="29" t="n">
        <x:v>0</x:v>
      </x:c>
      <x:c r="E38" s="29" t="n">
        <x:v>1</x:v>
      </x:c>
      <x:c r="F38" s="29" t="n">
        <x:v>0</x:v>
      </x:c>
      <x:c r="G38" s="30" t="n">
        <x:f>C38/B38</x:f>
        <x:v>0.99609375</x:v>
      </x:c>
      <x:c r="H38" s="30" t="n">
        <x:f>D38/B38</x:f>
        <x:v>0</x:v>
      </x:c>
      <x:c r="I38" s="30" t="n">
        <x:f>E38/B38</x:f>
        <x:v>0.00390625</x:v>
      </x:c>
      <x:c r="J38" s="30" t="n">
        <x:f>F38/B38</x:f>
        <x:v>0</x:v>
      </x:c>
      <x:c r="K38" s="30" t="n">
        <x:f>G38</x:f>
        <x:v>0.99609375</x:v>
      </x:c>
      <x:c r="L38" s="30" t="n">
        <x:f>0.5*(ABS(G38-1.0)+ABS(H38-0.0)+ABS(I38-0.0)+ABS(J38-0.0))</x:f>
        <x:v>0.00390625</x:v>
      </x:c>
    </x:row>
    <x:row r="39">
      <x:c r="A39" s="29" t="n">
        <x:v>36</x:v>
      </x:c>
      <x:c r="B39" s="29" t="n">
        <x:v>256</x:v>
      </x:c>
      <x:c r="C39" s="29" t="n">
        <x:v>250</x:v>
      </x:c>
      <x:c r="D39" s="29" t="n">
        <x:v>4</x:v>
      </x:c>
      <x:c r="E39" s="29" t="n">
        <x:v>2</x:v>
      </x:c>
      <x:c r="F39" s="29" t="n">
        <x:v>0</x:v>
      </x:c>
      <x:c r="G39" s="30" t="n">
        <x:f>C39/B39</x:f>
        <x:v>0.9765625</x:v>
      </x:c>
      <x:c r="H39" s="30" t="n">
        <x:f>D39/B39</x:f>
        <x:v>0.015625</x:v>
      </x:c>
      <x:c r="I39" s="30" t="n">
        <x:f>E39/B39</x:f>
        <x:v>0.0078125</x:v>
      </x:c>
      <x:c r="J39" s="30" t="n">
        <x:f>F39/B39</x:f>
        <x:v>0</x:v>
      </x:c>
      <x:c r="K39" s="30" t="n">
        <x:f>G39</x:f>
        <x:v>0.9765625</x:v>
      </x:c>
      <x:c r="L39" s="30" t="n">
        <x:f>0.5*(ABS(G39-1.0)+ABS(H39-0.0)+ABS(I39-0.0)+ABS(J39-0.0))</x:f>
        <x:v>0.0234375</x:v>
      </x:c>
    </x:row>
    <x:row r="40">
      <x:c r="A40" s="29" t="n">
        <x:v>37</x:v>
      </x:c>
      <x:c r="B40" s="29" t="n">
        <x:v>256</x:v>
      </x:c>
      <x:c r="C40" s="29" t="n">
        <x:v>249</x:v>
      </x:c>
      <x:c r="D40" s="29" t="n">
        <x:v>3</x:v>
      </x:c>
      <x:c r="E40" s="29" t="n">
        <x:v>3</x:v>
      </x:c>
      <x:c r="F40" s="29" t="n">
        <x:v>1</x:v>
      </x:c>
      <x:c r="G40" s="30" t="n">
        <x:f>C40/B40</x:f>
        <x:v>0.97265625</x:v>
      </x:c>
      <x:c r="H40" s="30" t="n">
        <x:f>D40/B40</x:f>
        <x:v>0.01171875</x:v>
      </x:c>
      <x:c r="I40" s="30" t="n">
        <x:f>E40/B40</x:f>
        <x:v>0.01171875</x:v>
      </x:c>
      <x:c r="J40" s="30" t="n">
        <x:f>F40/B40</x:f>
        <x:v>0.00390625</x:v>
      </x:c>
      <x:c r="K40" s="30" t="n">
        <x:f>G40</x:f>
        <x:v>0.97265625</x:v>
      </x:c>
      <x:c r="L40" s="30" t="n">
        <x:f>0.5*(ABS(G40-1.0)+ABS(H40-0.0)+ABS(I40-0.0)+ABS(J40-0.0))</x:f>
        <x:v>0.02734375</x:v>
      </x:c>
    </x:row>
    <x:row r="41">
      <x:c r="A41" s="29" t="n">
        <x:v>38</x:v>
      </x:c>
      <x:c r="B41" s="29" t="n">
        <x:v>256</x:v>
      </x:c>
      <x:c r="C41" s="29" t="n">
        <x:v>253</x:v>
      </x:c>
      <x:c r="D41" s="29" t="n">
        <x:v>0</x:v>
      </x:c>
      <x:c r="E41" s="29" t="n">
        <x:v>2</x:v>
      </x:c>
      <x:c r="F41" s="29" t="n">
        <x:v>1</x:v>
      </x:c>
      <x:c r="G41" s="30" t="n">
        <x:f>C41/B41</x:f>
        <x:v>0.98828125</x:v>
      </x:c>
      <x:c r="H41" s="30" t="n">
        <x:f>D41/B41</x:f>
        <x:v>0</x:v>
      </x:c>
      <x:c r="I41" s="30" t="n">
        <x:f>E41/B41</x:f>
        <x:v>0.0078125</x:v>
      </x:c>
      <x:c r="J41" s="30" t="n">
        <x:f>F41/B41</x:f>
        <x:v>0.00390625</x:v>
      </x:c>
      <x:c r="K41" s="30" t="n">
        <x:f>G41</x:f>
        <x:v>0.98828125</x:v>
      </x:c>
      <x:c r="L41" s="30" t="n">
        <x:f>0.5*(ABS(G41-1.0)+ABS(H41-0.0)+ABS(I41-0.0)+ABS(J41-0.0))</x:f>
        <x:v>0.01171875</x:v>
      </x:c>
    </x:row>
    <x:row r="42">
      <x:c r="A42" s="29" t="n">
        <x:v>39</x:v>
      </x:c>
      <x:c r="B42" s="29" t="n">
        <x:v>256</x:v>
      </x:c>
      <x:c r="C42" s="29" t="n">
        <x:v>253</x:v>
      </x:c>
      <x:c r="D42" s="29" t="n">
        <x:v>0</x:v>
      </x:c>
      <x:c r="E42" s="29" t="n">
        <x:v>3</x:v>
      </x:c>
      <x:c r="F42" s="29" t="n">
        <x:v>0</x:v>
      </x:c>
      <x:c r="G42" s="30" t="n">
        <x:f>C42/B42</x:f>
        <x:v>0.98828125</x:v>
      </x:c>
      <x:c r="H42" s="30" t="n">
        <x:f>D42/B42</x:f>
        <x:v>0</x:v>
      </x:c>
      <x:c r="I42" s="30" t="n">
        <x:f>E42/B42</x:f>
        <x:v>0.01171875</x:v>
      </x:c>
      <x:c r="J42" s="30" t="n">
        <x:f>F42/B42</x:f>
        <x:v>0</x:v>
      </x:c>
      <x:c r="K42" s="30" t="n">
        <x:f>G42</x:f>
        <x:v>0.98828125</x:v>
      </x:c>
      <x:c r="L42" s="30" t="n">
        <x:f>0.5*(ABS(G42-1.0)+ABS(H42-0.0)+ABS(I42-0.0)+ABS(J42-0.0))</x:f>
        <x:v>0.01171875</x:v>
      </x:c>
    </x:row>
    <x:row r="43">
      <x:c r="A43" s="29" t="n">
        <x:v>40</x:v>
      </x:c>
      <x:c r="B43" s="29" t="n">
        <x:v>256</x:v>
      </x:c>
      <x:c r="C43" s="29" t="n">
        <x:v>253</x:v>
      </x:c>
      <x:c r="D43" s="29" t="n">
        <x:v>1</x:v>
      </x:c>
      <x:c r="E43" s="29" t="n">
        <x:v>2</x:v>
      </x:c>
      <x:c r="F43" s="29" t="n">
        <x:v>0</x:v>
      </x:c>
      <x:c r="G43" s="30" t="n">
        <x:f>C43/B43</x:f>
        <x:v>0.98828125</x:v>
      </x:c>
      <x:c r="H43" s="30" t="n">
        <x:f>D43/B43</x:f>
        <x:v>0.00390625</x:v>
      </x:c>
      <x:c r="I43" s="30" t="n">
        <x:f>E43/B43</x:f>
        <x:v>0.0078125</x:v>
      </x:c>
      <x:c r="J43" s="30" t="n">
        <x:f>F43/B43</x:f>
        <x:v>0</x:v>
      </x:c>
      <x:c r="K43" s="30" t="n">
        <x:f>G43</x:f>
        <x:v>0.98828125</x:v>
      </x:c>
      <x:c r="L43" s="30" t="n">
        <x:f>0.5*(ABS(G43-1.0)+ABS(H43-0.0)+ABS(I43-0.0)+ABS(J43-0.0))</x:f>
        <x:v>0.01171875</x:v>
      </x:c>
    </x:row>
    <x:row r="44">
      <x:c r="A44" s="29" t="n">
        <x:v>41</x:v>
      </x:c>
      <x:c r="B44" s="29" t="n">
        <x:v>256</x:v>
      </x:c>
      <x:c r="C44" s="29" t="n">
        <x:v>254</x:v>
      </x:c>
      <x:c r="D44" s="29" t="n">
        <x:v>0</x:v>
      </x:c>
      <x:c r="E44" s="29" t="n">
        <x:v>1</x:v>
      </x:c>
      <x:c r="F44" s="29" t="n">
        <x:v>1</x:v>
      </x:c>
      <x:c r="G44" s="30" t="n">
        <x:f>C44/B44</x:f>
        <x:v>0.9921875</x:v>
      </x:c>
      <x:c r="H44" s="30" t="n">
        <x:f>D44/B44</x:f>
        <x:v>0</x:v>
      </x:c>
      <x:c r="I44" s="30" t="n">
        <x:f>E44/B44</x:f>
        <x:v>0.00390625</x:v>
      </x:c>
      <x:c r="J44" s="30" t="n">
        <x:f>F44/B44</x:f>
        <x:v>0.00390625</x:v>
      </x:c>
      <x:c r="K44" s="30" t="n">
        <x:f>G44</x:f>
        <x:v>0.9921875</x:v>
      </x:c>
      <x:c r="L44" s="30" t="n">
        <x:f>0.5*(ABS(G44-1.0)+ABS(H44-0.0)+ABS(I44-0.0)+ABS(J44-0.0))</x:f>
        <x:v>0.0078125</x:v>
      </x:c>
    </x:row>
    <x:row r="45">
      <x:c r="A45" s="29" t="n">
        <x:v>42</x:v>
      </x:c>
      <x:c r="B45" s="29" t="n">
        <x:v>256</x:v>
      </x:c>
      <x:c r="C45" s="29" t="n">
        <x:v>253</x:v>
      </x:c>
      <x:c r="D45" s="29" t="n">
        <x:v>2</x:v>
      </x:c>
      <x:c r="E45" s="29" t="n">
        <x:v>1</x:v>
      </x:c>
      <x:c r="F45" s="29" t="n">
        <x:v>0</x:v>
      </x:c>
      <x:c r="G45" s="30" t="n">
        <x:f>C45/B45</x:f>
        <x:v>0.98828125</x:v>
      </x:c>
      <x:c r="H45" s="30" t="n">
        <x:f>D45/B45</x:f>
        <x:v>0.0078125</x:v>
      </x:c>
      <x:c r="I45" s="30" t="n">
        <x:f>E45/B45</x:f>
        <x:v>0.00390625</x:v>
      </x:c>
      <x:c r="J45" s="30" t="n">
        <x:f>F45/B45</x:f>
        <x:v>0</x:v>
      </x:c>
      <x:c r="K45" s="30" t="n">
        <x:f>G45</x:f>
        <x:v>0.98828125</x:v>
      </x:c>
      <x:c r="L45" s="30" t="n">
        <x:f>0.5*(ABS(G45-1.0)+ABS(H45-0.0)+ABS(I45-0.0)+ABS(J45-0.0))</x:f>
        <x:v>0.01171875</x:v>
      </x:c>
    </x:row>
    <x:row r="46">
      <x:c r="A46" s="29" t="n">
        <x:v>43</x:v>
      </x:c>
      <x:c r="B46" s="29" t="n">
        <x:v>256</x:v>
      </x:c>
      <x:c r="C46" s="29" t="n">
        <x:v>254</x:v>
      </x:c>
      <x:c r="D46" s="29" t="n">
        <x:v>1</x:v>
      </x:c>
      <x:c r="E46" s="29" t="n">
        <x:v>0</x:v>
      </x:c>
      <x:c r="F46" s="29" t="n">
        <x:v>1</x:v>
      </x:c>
      <x:c r="G46" s="30" t="n">
        <x:f>C46/B46</x:f>
        <x:v>0.9921875</x:v>
      </x:c>
      <x:c r="H46" s="30" t="n">
        <x:f>D46/B46</x:f>
        <x:v>0.00390625</x:v>
      </x:c>
      <x:c r="I46" s="30" t="n">
        <x:f>E46/B46</x:f>
        <x:v>0</x:v>
      </x:c>
      <x:c r="J46" s="30" t="n">
        <x:f>F46/B46</x:f>
        <x:v>0.00390625</x:v>
      </x:c>
      <x:c r="K46" s="30" t="n">
        <x:f>G46</x:f>
        <x:v>0.9921875</x:v>
      </x:c>
      <x:c r="L46" s="30" t="n">
        <x:f>0.5*(ABS(G46-1.0)+ABS(H46-0.0)+ABS(I46-0.0)+ABS(J46-0.0))</x:f>
        <x:v>0.0078125</x:v>
      </x:c>
    </x:row>
    <x:row r="47">
      <x:c r="A47" s="29" t="n">
        <x:v>44</x:v>
      </x:c>
      <x:c r="B47" s="29" t="n">
        <x:v>256</x:v>
      </x:c>
      <x:c r="C47" s="29" t="n">
        <x:v>252</x:v>
      </x:c>
      <x:c r="D47" s="29" t="n">
        <x:v>2</x:v>
      </x:c>
      <x:c r="E47" s="29" t="n">
        <x:v>1</x:v>
      </x:c>
      <x:c r="F47" s="29" t="n">
        <x:v>1</x:v>
      </x:c>
      <x:c r="G47" s="30" t="n">
        <x:f>C47/B47</x:f>
        <x:v>0.984375</x:v>
      </x:c>
      <x:c r="H47" s="30" t="n">
        <x:f>D47/B47</x:f>
        <x:v>0.0078125</x:v>
      </x:c>
      <x:c r="I47" s="30" t="n">
        <x:f>E47/B47</x:f>
        <x:v>0.00390625</x:v>
      </x:c>
      <x:c r="J47" s="30" t="n">
        <x:f>F47/B47</x:f>
        <x:v>0.00390625</x:v>
      </x:c>
      <x:c r="K47" s="30" t="n">
        <x:f>G47</x:f>
        <x:v>0.984375</x:v>
      </x:c>
      <x:c r="L47" s="30" t="n">
        <x:f>0.5*(ABS(G47-1.0)+ABS(H47-0.0)+ABS(I47-0.0)+ABS(J47-0.0))</x:f>
        <x:v>0.015625</x:v>
      </x:c>
    </x:row>
    <x:row r="48">
      <x:c r="A48" s="29" t="n">
        <x:v>45</x:v>
      </x:c>
      <x:c r="B48" s="29" t="n">
        <x:v>256</x:v>
      </x:c>
      <x:c r="C48" s="29" t="n">
        <x:v>254</x:v>
      </x:c>
      <x:c r="D48" s="29" t="n">
        <x:v>0</x:v>
      </x:c>
      <x:c r="E48" s="29" t="n">
        <x:v>2</x:v>
      </x:c>
      <x:c r="F48" s="29" t="n">
        <x:v>0</x:v>
      </x:c>
      <x:c r="G48" s="30" t="n">
        <x:f>C48/B48</x:f>
        <x:v>0.9921875</x:v>
      </x:c>
      <x:c r="H48" s="30" t="n">
        <x:f>D48/B48</x:f>
        <x:v>0</x:v>
      </x:c>
      <x:c r="I48" s="30" t="n">
        <x:f>E48/B48</x:f>
        <x:v>0.0078125</x:v>
      </x:c>
      <x:c r="J48" s="30" t="n">
        <x:f>F48/B48</x:f>
        <x:v>0</x:v>
      </x:c>
      <x:c r="K48" s="30" t="n">
        <x:f>G48</x:f>
        <x:v>0.9921875</x:v>
      </x:c>
      <x:c r="L48" s="30" t="n">
        <x:f>0.5*(ABS(G48-1.0)+ABS(H48-0.0)+ABS(I48-0.0)+ABS(J48-0.0))</x:f>
        <x:v>0.0078125</x:v>
      </x:c>
    </x:row>
    <x:row r="49">
      <x:c r="A49" s="29" t="n">
        <x:v>46</x:v>
      </x:c>
      <x:c r="B49" s="29" t="n">
        <x:v>256</x:v>
      </x:c>
      <x:c r="C49" s="29" t="n">
        <x:v>252</x:v>
      </x:c>
      <x:c r="D49" s="29" t="n">
        <x:v>1</x:v>
      </x:c>
      <x:c r="E49" s="29" t="n">
        <x:v>3</x:v>
      </x:c>
      <x:c r="F49" s="29" t="n">
        <x:v>0</x:v>
      </x:c>
      <x:c r="G49" s="30" t="n">
        <x:f>C49/B49</x:f>
        <x:v>0.984375</x:v>
      </x:c>
      <x:c r="H49" s="30" t="n">
        <x:f>D49/B49</x:f>
        <x:v>0.00390625</x:v>
      </x:c>
      <x:c r="I49" s="30" t="n">
        <x:f>E49/B49</x:f>
        <x:v>0.01171875</x:v>
      </x:c>
      <x:c r="J49" s="30" t="n">
        <x:f>F49/B49</x:f>
        <x:v>0</x:v>
      </x:c>
      <x:c r="K49" s="30" t="n">
        <x:f>G49</x:f>
        <x:v>0.984375</x:v>
      </x:c>
      <x:c r="L49" s="30" t="n">
        <x:f>0.5*(ABS(G49-1.0)+ABS(H49-0.0)+ABS(I49-0.0)+ABS(J49-0.0))</x:f>
        <x:v>0.015625</x:v>
      </x:c>
    </x:row>
    <x:row r="50">
      <x:c r="A50" s="29" t="n">
        <x:v>47</x:v>
      </x:c>
      <x:c r="B50" s="29" t="n">
        <x:v>256</x:v>
      </x:c>
      <x:c r="C50" s="29" t="n">
        <x:v>253</x:v>
      </x:c>
      <x:c r="D50" s="29" t="n">
        <x:v>1</x:v>
      </x:c>
      <x:c r="E50" s="29" t="n">
        <x:v>0</x:v>
      </x:c>
      <x:c r="F50" s="29" t="n">
        <x:v>2</x:v>
      </x:c>
      <x:c r="G50" s="30" t="n">
        <x:f>C50/B50</x:f>
        <x:v>0.98828125</x:v>
      </x:c>
      <x:c r="H50" s="30" t="n">
        <x:f>D50/B50</x:f>
        <x:v>0.00390625</x:v>
      </x:c>
      <x:c r="I50" s="30" t="n">
        <x:f>E50/B50</x:f>
        <x:v>0</x:v>
      </x:c>
      <x:c r="J50" s="30" t="n">
        <x:f>F50/B50</x:f>
        <x:v>0.0078125</x:v>
      </x:c>
      <x:c r="K50" s="30" t="n">
        <x:f>G50</x:f>
        <x:v>0.98828125</x:v>
      </x:c>
      <x:c r="L50" s="30" t="n">
        <x:f>0.5*(ABS(G50-1.0)+ABS(H50-0.0)+ABS(I50-0.0)+ABS(J50-0.0))</x:f>
        <x:v>0.01171875</x:v>
      </x:c>
    </x:row>
    <x:row r="51">
      <x:c r="A51" s="29" t="n">
        <x:v>48</x:v>
      </x:c>
      <x:c r="B51" s="29" t="n">
        <x:v>256</x:v>
      </x:c>
      <x:c r="C51" s="29" t="n">
        <x:v>256</x:v>
      </x:c>
      <x:c r="D51" s="29" t="n">
        <x:v>0</x:v>
      </x:c>
      <x:c r="E51" s="29" t="n">
        <x:v>0</x:v>
      </x:c>
      <x:c r="F51" s="29" t="n">
        <x:v>0</x:v>
      </x:c>
      <x:c r="G51" s="30" t="n">
        <x:f>C51/B51</x:f>
        <x:v>1</x:v>
      </x:c>
      <x:c r="H51" s="30" t="n">
        <x:f>D51/B51</x:f>
        <x:v>0</x:v>
      </x:c>
      <x:c r="I51" s="30" t="n">
        <x:f>E51/B51</x:f>
        <x:v>0</x:v>
      </x:c>
      <x:c r="J51" s="30" t="n">
        <x:f>F51/B51</x:f>
        <x:v>0</x:v>
      </x:c>
      <x:c r="K51" s="30" t="n">
        <x:f>G51</x:f>
        <x:v>1</x:v>
      </x:c>
      <x:c r="L51" s="30" t="n">
        <x:f>0.5*(ABS(G51-1.0)+ABS(H51-0.0)+ABS(I51-0.0)+ABS(J51-0.0))</x:f>
        <x:v>0</x:v>
      </x:c>
    </x:row>
    <x:row r="52">
      <x:c r="A52" s="29" t="n">
        <x:v>49</x:v>
      </x:c>
      <x:c r="B52" s="29" t="n">
        <x:v>256</x:v>
      </x:c>
      <x:c r="C52" s="29" t="n">
        <x:v>253</x:v>
      </x:c>
      <x:c r="D52" s="29" t="n">
        <x:v>2</x:v>
      </x:c>
      <x:c r="E52" s="29" t="n">
        <x:v>1</x:v>
      </x:c>
      <x:c r="F52" s="29" t="n">
        <x:v>0</x:v>
      </x:c>
      <x:c r="G52" s="30" t="n">
        <x:f>C52/B52</x:f>
        <x:v>0.98828125</x:v>
      </x:c>
      <x:c r="H52" s="30" t="n">
        <x:f>D52/B52</x:f>
        <x:v>0.0078125</x:v>
      </x:c>
      <x:c r="I52" s="30" t="n">
        <x:f>E52/B52</x:f>
        <x:v>0.00390625</x:v>
      </x:c>
      <x:c r="J52" s="30" t="n">
        <x:f>F52/B52</x:f>
        <x:v>0</x:v>
      </x:c>
      <x:c r="K52" s="30" t="n">
        <x:f>G52</x:f>
        <x:v>0.98828125</x:v>
      </x:c>
      <x:c r="L52" s="30" t="n">
        <x:f>0.5*(ABS(G52-1.0)+ABS(H52-0.0)+ABS(I52-0.0)+ABS(J52-0.0))</x:f>
        <x:v>0.01171875</x:v>
      </x:c>
    </x:row>
    <x:row r="53">
      <x:c r="A53" s="29" t="n">
        <x:v>50</x:v>
      </x:c>
      <x:c r="B53" s="29" t="n">
        <x:v>256</x:v>
      </x:c>
      <x:c r="C53" s="29" t="n">
        <x:v>251</x:v>
      </x:c>
      <x:c r="D53" s="29" t="n">
        <x:v>0</x:v>
      </x:c>
      <x:c r="E53" s="29" t="n">
        <x:v>3</x:v>
      </x:c>
      <x:c r="F53" s="29" t="n">
        <x:v>2</x:v>
      </x:c>
      <x:c r="G53" s="30" t="n">
        <x:f>C53/B53</x:f>
        <x:v>0.98046875</x:v>
      </x:c>
      <x:c r="H53" s="30" t="n">
        <x:f>D53/B53</x:f>
        <x:v>0</x:v>
      </x:c>
      <x:c r="I53" s="30" t="n">
        <x:f>E53/B53</x:f>
        <x:v>0.01171875</x:v>
      </x:c>
      <x:c r="J53" s="30" t="n">
        <x:f>F53/B53</x:f>
        <x:v>0.0078125</x:v>
      </x:c>
      <x:c r="K53" s="30" t="n">
        <x:f>G53</x:f>
        <x:v>0.98046875</x:v>
      </x:c>
      <x:c r="L53" s="30" t="n">
        <x:f>0.5*(ABS(G53-1.0)+ABS(H53-0.0)+ABS(I53-0.0)+ABS(J53-0.0))</x:f>
        <x:v>0.01953125</x:v>
      </x:c>
    </x:row>
    <x:row r="54">
      <x:c r="A54" s="29" t="n">
        <x:v>51</x:v>
      </x:c>
      <x:c r="B54" s="29" t="n">
        <x:v>256</x:v>
      </x:c>
      <x:c r="C54" s="29" t="n">
        <x:v>255</x:v>
      </x:c>
      <x:c r="D54" s="29" t="n">
        <x:v>1</x:v>
      </x:c>
      <x:c r="E54" s="29" t="n">
        <x:v>0</x:v>
      </x:c>
      <x:c r="F54" s="29" t="n">
        <x:v>0</x:v>
      </x:c>
      <x:c r="G54" s="30" t="n">
        <x:f>C54/B54</x:f>
        <x:v>0.99609375</x:v>
      </x:c>
      <x:c r="H54" s="30" t="n">
        <x:f>D54/B54</x:f>
        <x:v>0.00390625</x:v>
      </x:c>
      <x:c r="I54" s="30" t="n">
        <x:f>E54/B54</x:f>
        <x:v>0</x:v>
      </x:c>
      <x:c r="J54" s="30" t="n">
        <x:f>F54/B54</x:f>
        <x:v>0</x:v>
      </x:c>
      <x:c r="K54" s="30" t="n">
        <x:f>G54</x:f>
        <x:v>0.99609375</x:v>
      </x:c>
      <x:c r="L54" s="30" t="n">
        <x:f>0.5*(ABS(G54-1.0)+ABS(H54-0.0)+ABS(I54-0.0)+ABS(J54-0.0))</x:f>
        <x:v>0.00390625</x:v>
      </x:c>
    </x:row>
    <x:row r="55">
      <x:c r="A55" s="29" t="n">
        <x:v>52</x:v>
      </x:c>
      <x:c r="B55" s="29" t="n">
        <x:v>256</x:v>
      </x:c>
      <x:c r="C55" s="29" t="n">
        <x:v>253</x:v>
      </x:c>
      <x:c r="D55" s="29" t="n">
        <x:v>2</x:v>
      </x:c>
      <x:c r="E55" s="29" t="n">
        <x:v>1</x:v>
      </x:c>
      <x:c r="F55" s="29" t="n">
        <x:v>0</x:v>
      </x:c>
      <x:c r="G55" s="30" t="n">
        <x:f>C55/B55</x:f>
        <x:v>0.98828125</x:v>
      </x:c>
      <x:c r="H55" s="30" t="n">
        <x:f>D55/B55</x:f>
        <x:v>0.0078125</x:v>
      </x:c>
      <x:c r="I55" s="30" t="n">
        <x:f>E55/B55</x:f>
        <x:v>0.00390625</x:v>
      </x:c>
      <x:c r="J55" s="30" t="n">
        <x:f>F55/B55</x:f>
        <x:v>0</x:v>
      </x:c>
      <x:c r="K55" s="30" t="n">
        <x:f>G55</x:f>
        <x:v>0.98828125</x:v>
      </x:c>
      <x:c r="L55" s="30" t="n">
        <x:f>0.5*(ABS(G55-1.0)+ABS(H55-0.0)+ABS(I55-0.0)+ABS(J55-0.0))</x:f>
        <x:v>0.01171875</x:v>
      </x:c>
    </x:row>
    <x:row r="56">
      <x:c r="A56" s="29" t="n">
        <x:v>53</x:v>
      </x:c>
      <x:c r="B56" s="29" t="n">
        <x:v>256</x:v>
      </x:c>
      <x:c r="C56" s="29" t="n">
        <x:v>256</x:v>
      </x:c>
      <x:c r="D56" s="29" t="n">
        <x:v>0</x:v>
      </x:c>
      <x:c r="E56" s="29" t="n">
        <x:v>0</x:v>
      </x:c>
      <x:c r="F56" s="29" t="n">
        <x:v>0</x:v>
      </x:c>
      <x:c r="G56" s="30" t="n">
        <x:f>C56/B56</x:f>
        <x:v>1</x:v>
      </x:c>
      <x:c r="H56" s="30" t="n">
        <x:f>D56/B56</x:f>
        <x:v>0</x:v>
      </x:c>
      <x:c r="I56" s="30" t="n">
        <x:f>E56/B56</x:f>
        <x:v>0</x:v>
      </x:c>
      <x:c r="J56" s="30" t="n">
        <x:f>F56/B56</x:f>
        <x:v>0</x:v>
      </x:c>
      <x:c r="K56" s="30" t="n">
        <x:f>G56</x:f>
        <x:v>1</x:v>
      </x:c>
      <x:c r="L56" s="30" t="n">
        <x:f>0.5*(ABS(G56-1.0)+ABS(H56-0.0)+ABS(I56-0.0)+ABS(J56-0.0))</x:f>
        <x:v>0</x:v>
      </x:c>
    </x:row>
    <x:row r="57">
      <x:c r="A57" s="29" t="n">
        <x:v>54</x:v>
      </x:c>
      <x:c r="B57" s="29" t="n">
        <x:v>256</x:v>
      </x:c>
      <x:c r="C57" s="29" t="n">
        <x:v>254</x:v>
      </x:c>
      <x:c r="D57" s="29" t="n">
        <x:v>1</x:v>
      </x:c>
      <x:c r="E57" s="29" t="n">
        <x:v>0</x:v>
      </x:c>
      <x:c r="F57" s="29" t="n">
        <x:v>1</x:v>
      </x:c>
      <x:c r="G57" s="30" t="n">
        <x:f>C57/B57</x:f>
        <x:v>0.9921875</x:v>
      </x:c>
      <x:c r="H57" s="30" t="n">
        <x:f>D57/B57</x:f>
        <x:v>0.00390625</x:v>
      </x:c>
      <x:c r="I57" s="30" t="n">
        <x:f>E57/B57</x:f>
        <x:v>0</x:v>
      </x:c>
      <x:c r="J57" s="30" t="n">
        <x:f>F57/B57</x:f>
        <x:v>0.00390625</x:v>
      </x:c>
      <x:c r="K57" s="30" t="n">
        <x:f>G57</x:f>
        <x:v>0.9921875</x:v>
      </x:c>
      <x:c r="L57" s="30" t="n">
        <x:f>0.5*(ABS(G57-1.0)+ABS(H57-0.0)+ABS(I57-0.0)+ABS(J57-0.0))</x:f>
        <x:v>0.0078125</x:v>
      </x:c>
    </x:row>
    <x:row r="58">
      <x:c r="A58" s="29" t="n">
        <x:v>55</x:v>
      </x:c>
      <x:c r="B58" s="29" t="n">
        <x:v>256</x:v>
      </x:c>
      <x:c r="C58" s="29" t="n">
        <x:v>253</x:v>
      </x:c>
      <x:c r="D58" s="29" t="n">
        <x:v>1</x:v>
      </x:c>
      <x:c r="E58" s="29" t="n">
        <x:v>1</x:v>
      </x:c>
      <x:c r="F58" s="29" t="n">
        <x:v>1</x:v>
      </x:c>
      <x:c r="G58" s="30" t="n">
        <x:f>C58/B58</x:f>
        <x:v>0.98828125</x:v>
      </x:c>
      <x:c r="H58" s="30" t="n">
        <x:f>D58/B58</x:f>
        <x:v>0.00390625</x:v>
      </x:c>
      <x:c r="I58" s="30" t="n">
        <x:f>E58/B58</x:f>
        <x:v>0.00390625</x:v>
      </x:c>
      <x:c r="J58" s="30" t="n">
        <x:f>F58/B58</x:f>
        <x:v>0.00390625</x:v>
      </x:c>
      <x:c r="K58" s="30" t="n">
        <x:f>G58</x:f>
        <x:v>0.98828125</x:v>
      </x:c>
      <x:c r="L58" s="30" t="n">
        <x:f>0.5*(ABS(G58-1.0)+ABS(H58-0.0)+ABS(I58-0.0)+ABS(J58-0.0))</x:f>
        <x:v>0.01171875</x:v>
      </x:c>
    </x:row>
    <x:row r="59">
      <x:c r="A59" s="29" t="n">
        <x:v>56</x:v>
      </x:c>
      <x:c r="B59" s="29" t="n">
        <x:v>256</x:v>
      </x:c>
      <x:c r="C59" s="29" t="n">
        <x:v>254</x:v>
      </x:c>
      <x:c r="D59" s="29" t="n">
        <x:v>0</x:v>
      </x:c>
      <x:c r="E59" s="29" t="n">
        <x:v>2</x:v>
      </x:c>
      <x:c r="F59" s="29" t="n">
        <x:v>0</x:v>
      </x:c>
      <x:c r="G59" s="30" t="n">
        <x:f>C59/B59</x:f>
        <x:v>0.9921875</x:v>
      </x:c>
      <x:c r="H59" s="30" t="n">
        <x:f>D59/B59</x:f>
        <x:v>0</x:v>
      </x:c>
      <x:c r="I59" s="30" t="n">
        <x:f>E59/B59</x:f>
        <x:v>0.0078125</x:v>
      </x:c>
      <x:c r="J59" s="30" t="n">
        <x:f>F59/B59</x:f>
        <x:v>0</x:v>
      </x:c>
      <x:c r="K59" s="30" t="n">
        <x:f>G59</x:f>
        <x:v>0.9921875</x:v>
      </x:c>
      <x:c r="L59" s="30" t="n">
        <x:f>0.5*(ABS(G59-1.0)+ABS(H59-0.0)+ABS(I59-0.0)+ABS(J59-0.0))</x:f>
        <x:v>0.0078125</x:v>
      </x:c>
    </x:row>
    <x:row r="60">
      <x:c r="A60" s="29" t="n">
        <x:v>57</x:v>
      </x:c>
      <x:c r="B60" s="29" t="n">
        <x:v>256</x:v>
      </x:c>
      <x:c r="C60" s="29" t="n">
        <x:v>255</x:v>
      </x:c>
      <x:c r="D60" s="29" t="n">
        <x:v>0</x:v>
      </x:c>
      <x:c r="E60" s="29" t="n">
        <x:v>1</x:v>
      </x:c>
      <x:c r="F60" s="29" t="n">
        <x:v>0</x:v>
      </x:c>
      <x:c r="G60" s="30" t="n">
        <x:f>C60/B60</x:f>
        <x:v>0.99609375</x:v>
      </x:c>
      <x:c r="H60" s="30" t="n">
        <x:f>D60/B60</x:f>
        <x:v>0</x:v>
      </x:c>
      <x:c r="I60" s="30" t="n">
        <x:f>E60/B60</x:f>
        <x:v>0.00390625</x:v>
      </x:c>
      <x:c r="J60" s="30" t="n">
        <x:f>F60/B60</x:f>
        <x:v>0</x:v>
      </x:c>
      <x:c r="K60" s="30" t="n">
        <x:f>G60</x:f>
        <x:v>0.99609375</x:v>
      </x:c>
      <x:c r="L60" s="30" t="n">
        <x:f>0.5*(ABS(G60-1.0)+ABS(H60-0.0)+ABS(I60-0.0)+ABS(J60-0.0))</x:f>
        <x:v>0.00390625</x:v>
      </x:c>
    </x:row>
    <x:row r="61">
      <x:c r="A61" s="29" t="n">
        <x:v>58</x:v>
      </x:c>
      <x:c r="B61" s="29" t="n">
        <x:v>256</x:v>
      </x:c>
      <x:c r="C61" s="29" t="n">
        <x:v>253</x:v>
      </x:c>
      <x:c r="D61" s="29" t="n">
        <x:v>1</x:v>
      </x:c>
      <x:c r="E61" s="29" t="n">
        <x:v>2</x:v>
      </x:c>
      <x:c r="F61" s="29" t="n">
        <x:v>0</x:v>
      </x:c>
      <x:c r="G61" s="30" t="n">
        <x:f>C61/B61</x:f>
        <x:v>0.98828125</x:v>
      </x:c>
      <x:c r="H61" s="30" t="n">
        <x:f>D61/B61</x:f>
        <x:v>0.00390625</x:v>
      </x:c>
      <x:c r="I61" s="30" t="n">
        <x:f>E61/B61</x:f>
        <x:v>0.0078125</x:v>
      </x:c>
      <x:c r="J61" s="30" t="n">
        <x:f>F61/B61</x:f>
        <x:v>0</x:v>
      </x:c>
      <x:c r="K61" s="30" t="n">
        <x:f>G61</x:f>
        <x:v>0.98828125</x:v>
      </x:c>
      <x:c r="L61" s="30" t="n">
        <x:f>0.5*(ABS(G61-1.0)+ABS(H61-0.0)+ABS(I61-0.0)+ABS(J61-0.0))</x:f>
        <x:v>0.01171875</x:v>
      </x:c>
    </x:row>
    <x:row r="62">
      <x:c r="A62" s="29" t="n">
        <x:v>59</x:v>
      </x:c>
      <x:c r="B62" s="29" t="n">
        <x:v>256</x:v>
      </x:c>
      <x:c r="C62" s="29" t="n">
        <x:v>251</x:v>
      </x:c>
      <x:c r="D62" s="29" t="n">
        <x:v>2</x:v>
      </x:c>
      <x:c r="E62" s="29" t="n">
        <x:v>1</x:v>
      </x:c>
      <x:c r="F62" s="29" t="n">
        <x:v>2</x:v>
      </x:c>
      <x:c r="G62" s="30" t="n">
        <x:f>C62/B62</x:f>
        <x:v>0.98046875</x:v>
      </x:c>
      <x:c r="H62" s="30" t="n">
        <x:f>D62/B62</x:f>
        <x:v>0.0078125</x:v>
      </x:c>
      <x:c r="I62" s="30" t="n">
        <x:f>E62/B62</x:f>
        <x:v>0.00390625</x:v>
      </x:c>
      <x:c r="J62" s="30" t="n">
        <x:f>F62/B62</x:f>
        <x:v>0.0078125</x:v>
      </x:c>
      <x:c r="K62" s="30" t="n">
        <x:f>G62</x:f>
        <x:v>0.98046875</x:v>
      </x:c>
      <x:c r="L62" s="30" t="n">
        <x:f>0.5*(ABS(G62-1.0)+ABS(H62-0.0)+ABS(I62-0.0)+ABS(J62-0.0))</x:f>
        <x:v>0.01953125</x:v>
      </x:c>
    </x:row>
    <x:row r="63">
      <x:c r="A63" s="29" t="n">
        <x:v>60</x:v>
      </x:c>
      <x:c r="B63" s="29" t="n">
        <x:v>256</x:v>
      </x:c>
      <x:c r="C63" s="29" t="n">
        <x:v>254</x:v>
      </x:c>
      <x:c r="D63" s="29" t="n">
        <x:v>1</x:v>
      </x:c>
      <x:c r="E63" s="29" t="n">
        <x:v>1</x:v>
      </x:c>
      <x:c r="F63" s="29" t="n">
        <x:v>0</x:v>
      </x:c>
      <x:c r="G63" s="30" t="n">
        <x:f>C63/B63</x:f>
        <x:v>0.9921875</x:v>
      </x:c>
      <x:c r="H63" s="30" t="n">
        <x:f>D63/B63</x:f>
        <x:v>0.00390625</x:v>
      </x:c>
      <x:c r="I63" s="30" t="n">
        <x:f>E63/B63</x:f>
        <x:v>0.00390625</x:v>
      </x:c>
      <x:c r="J63" s="30" t="n">
        <x:f>F63/B63</x:f>
        <x:v>0</x:v>
      </x:c>
      <x:c r="K63" s="30" t="n">
        <x:f>G63</x:f>
        <x:v>0.9921875</x:v>
      </x:c>
      <x:c r="L63" s="30" t="n">
        <x:f>0.5*(ABS(G63-1.0)+ABS(H63-0.0)+ABS(I63-0.0)+ABS(J63-0.0))</x:f>
        <x:v>0.0078125</x:v>
      </x:c>
    </x:row>
    <x:row r="64">
      <x:c r="A64" s="29" t="n">
        <x:v>61</x:v>
      </x:c>
      <x:c r="B64" s="29" t="n">
        <x:v>256</x:v>
      </x:c>
      <x:c r="C64" s="29" t="n">
        <x:v>252</x:v>
      </x:c>
      <x:c r="D64" s="29" t="n">
        <x:v>3</x:v>
      </x:c>
      <x:c r="E64" s="29" t="n">
        <x:v>1</x:v>
      </x:c>
      <x:c r="F64" s="29" t="n">
        <x:v>0</x:v>
      </x:c>
      <x:c r="G64" s="30" t="n">
        <x:f>C64/B64</x:f>
        <x:v>0.984375</x:v>
      </x:c>
      <x:c r="H64" s="30" t="n">
        <x:f>D64/B64</x:f>
        <x:v>0.01171875</x:v>
      </x:c>
      <x:c r="I64" s="30" t="n">
        <x:f>E64/B64</x:f>
        <x:v>0.00390625</x:v>
      </x:c>
      <x:c r="J64" s="30" t="n">
        <x:f>F64/B64</x:f>
        <x:v>0</x:v>
      </x:c>
      <x:c r="K64" s="30" t="n">
        <x:f>G64</x:f>
        <x:v>0.984375</x:v>
      </x:c>
      <x:c r="L64" s="30" t="n">
        <x:f>0.5*(ABS(G64-1.0)+ABS(H64-0.0)+ABS(I64-0.0)+ABS(J64-0.0))</x:f>
        <x:v>0.015625</x:v>
      </x:c>
    </x:row>
    <x:row r="65">
      <x:c r="A65" s="29" t="n">
        <x:v>62</x:v>
      </x:c>
      <x:c r="B65" s="29" t="n">
        <x:v>256</x:v>
      </x:c>
      <x:c r="C65" s="29" t="n">
        <x:v>249</x:v>
      </x:c>
      <x:c r="D65" s="29" t="n">
        <x:v>2</x:v>
      </x:c>
      <x:c r="E65" s="29" t="n">
        <x:v>4</x:v>
      </x:c>
      <x:c r="F65" s="29" t="n">
        <x:v>1</x:v>
      </x:c>
      <x:c r="G65" s="30" t="n">
        <x:f>C65/B65</x:f>
        <x:v>0.97265625</x:v>
      </x:c>
      <x:c r="H65" s="30" t="n">
        <x:f>D65/B65</x:f>
        <x:v>0.0078125</x:v>
      </x:c>
      <x:c r="I65" s="30" t="n">
        <x:f>E65/B65</x:f>
        <x:v>0.015625</x:v>
      </x:c>
      <x:c r="J65" s="30" t="n">
        <x:f>F65/B65</x:f>
        <x:v>0.00390625</x:v>
      </x:c>
      <x:c r="K65" s="30" t="n">
        <x:f>G65</x:f>
        <x:v>0.97265625</x:v>
      </x:c>
      <x:c r="L65" s="30" t="n">
        <x:f>0.5*(ABS(G65-1.0)+ABS(H65-0.0)+ABS(I65-0.0)+ABS(J65-0.0))</x:f>
        <x:v>0.02734375</x:v>
      </x:c>
    </x:row>
    <x:row r="66">
      <x:c r="A66" s="29" t="n">
        <x:v>63</x:v>
      </x:c>
      <x:c r="B66" s="29" t="n">
        <x:v>256</x:v>
      </x:c>
      <x:c r="C66" s="29" t="n">
        <x:v>252</x:v>
      </x:c>
      <x:c r="D66" s="29" t="n">
        <x:v>1</x:v>
      </x:c>
      <x:c r="E66" s="29" t="n">
        <x:v>2</x:v>
      </x:c>
      <x:c r="F66" s="29" t="n">
        <x:v>1</x:v>
      </x:c>
      <x:c r="G66" s="30" t="n">
        <x:f>C66/B66</x:f>
        <x:v>0.984375</x:v>
      </x:c>
      <x:c r="H66" s="30" t="n">
        <x:f>D66/B66</x:f>
        <x:v>0.00390625</x:v>
      </x:c>
      <x:c r="I66" s="30" t="n">
        <x:f>E66/B66</x:f>
        <x:v>0.0078125</x:v>
      </x:c>
      <x:c r="J66" s="30" t="n">
        <x:f>F66/B66</x:f>
        <x:v>0.00390625</x:v>
      </x:c>
      <x:c r="K66" s="30" t="n">
        <x:f>G66</x:f>
        <x:v>0.984375</x:v>
      </x:c>
      <x:c r="L66" s="30" t="n">
        <x:f>0.5*(ABS(G66-1.0)+ABS(H66-0.0)+ABS(I66-0.0)+ABS(J66-0.0))</x:f>
        <x:v>0.015625</x:v>
      </x:c>
    </x:row>
    <x:row r="67">
      <x:c r="A67" s="29" t="n">
        <x:v>64</x:v>
      </x:c>
      <x:c r="B67" s="29" t="n">
        <x:v>256</x:v>
      </x:c>
      <x:c r="C67" s="29" t="n">
        <x:v>255</x:v>
      </x:c>
      <x:c r="D67" s="29" t="n">
        <x:v>0</x:v>
      </x:c>
      <x:c r="E67" s="29" t="n">
        <x:v>0</x:v>
      </x:c>
      <x:c r="F67" s="29" t="n">
        <x:v>1</x:v>
      </x:c>
      <x:c r="G67" s="30" t="n">
        <x:f>C67/B67</x:f>
        <x:v>0.99609375</x:v>
      </x:c>
      <x:c r="H67" s="30" t="n">
        <x:f>D67/B67</x:f>
        <x:v>0</x:v>
      </x:c>
      <x:c r="I67" s="30" t="n">
        <x:f>E67/B67</x:f>
        <x:v>0</x:v>
      </x:c>
      <x:c r="J67" s="30" t="n">
        <x:f>F67/B67</x:f>
        <x:v>0.00390625</x:v>
      </x:c>
      <x:c r="K67" s="30" t="n">
        <x:f>G67</x:f>
        <x:v>0.99609375</x:v>
      </x:c>
      <x:c r="L67" s="30" t="n">
        <x:f>0.5*(ABS(G67-1.0)+ABS(H67-0.0)+ABS(I67-0.0)+ABS(J67-0.0))</x:f>
        <x:v>0.00390625</x:v>
      </x:c>
    </x:row>
    <x:row r="68">
      <x:c r="A68" s="29" t="n">
        <x:v>65</x:v>
      </x:c>
      <x:c r="B68" s="29" t="n">
        <x:v>256</x:v>
      </x:c>
      <x:c r="C68" s="29" t="n">
        <x:v>251</x:v>
      </x:c>
      <x:c r="D68" s="29" t="n">
        <x:v>1</x:v>
      </x:c>
      <x:c r="E68" s="29" t="n">
        <x:v>4</x:v>
      </x:c>
      <x:c r="F68" s="29" t="n">
        <x:v>0</x:v>
      </x:c>
      <x:c r="G68" s="30" t="n">
        <x:f>C68/B68</x:f>
        <x:v>0.98046875</x:v>
      </x:c>
      <x:c r="H68" s="30" t="n">
        <x:f>D68/B68</x:f>
        <x:v>0.00390625</x:v>
      </x:c>
      <x:c r="I68" s="30" t="n">
        <x:f>E68/B68</x:f>
        <x:v>0.015625</x:v>
      </x:c>
      <x:c r="J68" s="30" t="n">
        <x:f>F68/B68</x:f>
        <x:v>0</x:v>
      </x:c>
      <x:c r="K68" s="30" t="n">
        <x:f>G68</x:f>
        <x:v>0.98046875</x:v>
      </x:c>
      <x:c r="L68" s="30" t="n">
        <x:f>0.5*(ABS(G68-1.0)+ABS(H68-0.0)+ABS(I68-0.0)+ABS(J68-0.0))</x:f>
        <x:v>0.01953125</x:v>
      </x:c>
    </x:row>
    <x:row r="69">
      <x:c r="A69" s="29" t="n">
        <x:v>66</x:v>
      </x:c>
      <x:c r="B69" s="29" t="n">
        <x:v>256</x:v>
      </x:c>
      <x:c r="C69" s="29" t="n">
        <x:v>254</x:v>
      </x:c>
      <x:c r="D69" s="29" t="n">
        <x:v>0</x:v>
      </x:c>
      <x:c r="E69" s="29" t="n">
        <x:v>2</x:v>
      </x:c>
      <x:c r="F69" s="29" t="n">
        <x:v>0</x:v>
      </x:c>
      <x:c r="G69" s="30" t="n">
        <x:f>C69/B69</x:f>
        <x:v>0.9921875</x:v>
      </x:c>
      <x:c r="H69" s="30" t="n">
        <x:f>D69/B69</x:f>
        <x:v>0</x:v>
      </x:c>
      <x:c r="I69" s="30" t="n">
        <x:f>E69/B69</x:f>
        <x:v>0.0078125</x:v>
      </x:c>
      <x:c r="J69" s="30" t="n">
        <x:f>F69/B69</x:f>
        <x:v>0</x:v>
      </x:c>
      <x:c r="K69" s="30" t="n">
        <x:f>G69</x:f>
        <x:v>0.9921875</x:v>
      </x:c>
      <x:c r="L69" s="30" t="n">
        <x:f>0.5*(ABS(G69-1.0)+ABS(H69-0.0)+ABS(I69-0.0)+ABS(J69-0.0))</x:f>
        <x:v>0.0078125</x:v>
      </x:c>
    </x:row>
    <x:row r="70">
      <x:c r="A70" s="29" t="n">
        <x:v>67</x:v>
      </x:c>
      <x:c r="B70" s="29" t="n">
        <x:v>256</x:v>
      </x:c>
      <x:c r="C70" s="29" t="n">
        <x:v>254</x:v>
      </x:c>
      <x:c r="D70" s="29" t="n">
        <x:v>0</x:v>
      </x:c>
      <x:c r="E70" s="29" t="n">
        <x:v>2</x:v>
      </x:c>
      <x:c r="F70" s="29" t="n">
        <x:v>0</x:v>
      </x:c>
      <x:c r="G70" s="30" t="n">
        <x:f>C70/B70</x:f>
        <x:v>0.9921875</x:v>
      </x:c>
      <x:c r="H70" s="30" t="n">
        <x:f>D70/B70</x:f>
        <x:v>0</x:v>
      </x:c>
      <x:c r="I70" s="30" t="n">
        <x:f>E70/B70</x:f>
        <x:v>0.0078125</x:v>
      </x:c>
      <x:c r="J70" s="30" t="n">
        <x:f>F70/B70</x:f>
        <x:v>0</x:v>
      </x:c>
      <x:c r="K70" s="30" t="n">
        <x:f>G70</x:f>
        <x:v>0.9921875</x:v>
      </x:c>
      <x:c r="L70" s="30" t="n">
        <x:f>0.5*(ABS(G70-1.0)+ABS(H70-0.0)+ABS(I70-0.0)+ABS(J70-0.0))</x:f>
        <x:v>0.0078125</x:v>
      </x:c>
    </x:row>
    <x:row r="71">
      <x:c r="A71" s="29" t="n">
        <x:v>68</x:v>
      </x:c>
      <x:c r="B71" s="29" t="n">
        <x:v>256</x:v>
      </x:c>
      <x:c r="C71" s="29" t="n">
        <x:v>253</x:v>
      </x:c>
      <x:c r="D71" s="29" t="n">
        <x:v>2</x:v>
      </x:c>
      <x:c r="E71" s="29" t="n">
        <x:v>1</x:v>
      </x:c>
      <x:c r="F71" s="29" t="n">
        <x:v>0</x:v>
      </x:c>
      <x:c r="G71" s="30" t="n">
        <x:f>C71/B71</x:f>
        <x:v>0.98828125</x:v>
      </x:c>
      <x:c r="H71" s="30" t="n">
        <x:f>D71/B71</x:f>
        <x:v>0.0078125</x:v>
      </x:c>
      <x:c r="I71" s="30" t="n">
        <x:f>E71/B71</x:f>
        <x:v>0.00390625</x:v>
      </x:c>
      <x:c r="J71" s="30" t="n">
        <x:f>F71/B71</x:f>
        <x:v>0</x:v>
      </x:c>
      <x:c r="K71" s="30" t="n">
        <x:f>G71</x:f>
        <x:v>0.98828125</x:v>
      </x:c>
      <x:c r="L71" s="30" t="n">
        <x:f>0.5*(ABS(G71-1.0)+ABS(H71-0.0)+ABS(I71-0.0)+ABS(J71-0.0))</x:f>
        <x:v>0.01171875</x:v>
      </x:c>
    </x:row>
    <x:row r="72">
      <x:c r="A72" s="29" t="n">
        <x:v>69</x:v>
      </x:c>
      <x:c r="B72" s="29" t="n">
        <x:v>256</x:v>
      </x:c>
      <x:c r="C72" s="29" t="n">
        <x:v>254</x:v>
      </x:c>
      <x:c r="D72" s="29" t="n">
        <x:v>2</x:v>
      </x:c>
      <x:c r="E72" s="29" t="n">
        <x:v>0</x:v>
      </x:c>
      <x:c r="F72" s="29" t="n">
        <x:v>0</x:v>
      </x:c>
      <x:c r="G72" s="30" t="n">
        <x:f>C72/B72</x:f>
        <x:v>0.9921875</x:v>
      </x:c>
      <x:c r="H72" s="30" t="n">
        <x:f>D72/B72</x:f>
        <x:v>0.0078125</x:v>
      </x:c>
      <x:c r="I72" s="30" t="n">
        <x:f>E72/B72</x:f>
        <x:v>0</x:v>
      </x:c>
      <x:c r="J72" s="30" t="n">
        <x:f>F72/B72</x:f>
        <x:v>0</x:v>
      </x:c>
      <x:c r="K72" s="30" t="n">
        <x:f>G72</x:f>
        <x:v>0.9921875</x:v>
      </x:c>
      <x:c r="L72" s="30" t="n">
        <x:f>0.5*(ABS(G72-1.0)+ABS(H72-0.0)+ABS(I72-0.0)+ABS(J72-0.0))</x:f>
        <x:v>0.0078125</x:v>
      </x:c>
    </x:row>
    <x:row r="73">
      <x:c r="A73" s="29" t="n">
        <x:v>70</x:v>
      </x:c>
      <x:c r="B73" s="29" t="n">
        <x:v>256</x:v>
      </x:c>
      <x:c r="C73" s="29" t="n">
        <x:v>255</x:v>
      </x:c>
      <x:c r="D73" s="29" t="n">
        <x:v>0</x:v>
      </x:c>
      <x:c r="E73" s="29" t="n">
        <x:v>1</x:v>
      </x:c>
      <x:c r="F73" s="29" t="n">
        <x:v>0</x:v>
      </x:c>
      <x:c r="G73" s="30" t="n">
        <x:f>C73/B73</x:f>
        <x:v>0.99609375</x:v>
      </x:c>
      <x:c r="H73" s="30" t="n">
        <x:f>D73/B73</x:f>
        <x:v>0</x:v>
      </x:c>
      <x:c r="I73" s="30" t="n">
        <x:f>E73/B73</x:f>
        <x:v>0.00390625</x:v>
      </x:c>
      <x:c r="J73" s="30" t="n">
        <x:f>F73/B73</x:f>
        <x:v>0</x:v>
      </x:c>
      <x:c r="K73" s="30" t="n">
        <x:f>G73</x:f>
        <x:v>0.99609375</x:v>
      </x:c>
      <x:c r="L73" s="30" t="n">
        <x:f>0.5*(ABS(G73-1.0)+ABS(H73-0.0)+ABS(I73-0.0)+ABS(J73-0.0))</x:f>
        <x:v>0.00390625</x:v>
      </x:c>
    </x:row>
    <x:row r="74">
      <x:c r="A74" s="29" t="n">
        <x:v>71</x:v>
      </x:c>
      <x:c r="B74" s="29" t="n">
        <x:v>256</x:v>
      </x:c>
      <x:c r="C74" s="29" t="n">
        <x:v>253</x:v>
      </x:c>
      <x:c r="D74" s="29" t="n">
        <x:v>1</x:v>
      </x:c>
      <x:c r="E74" s="29" t="n">
        <x:v>2</x:v>
      </x:c>
      <x:c r="F74" s="29" t="n">
        <x:v>0</x:v>
      </x:c>
      <x:c r="G74" s="30" t="n">
        <x:f>C74/B74</x:f>
        <x:v>0.98828125</x:v>
      </x:c>
      <x:c r="H74" s="30" t="n">
        <x:f>D74/B74</x:f>
        <x:v>0.00390625</x:v>
      </x:c>
      <x:c r="I74" s="30" t="n">
        <x:f>E74/B74</x:f>
        <x:v>0.0078125</x:v>
      </x:c>
      <x:c r="J74" s="30" t="n">
        <x:f>F74/B74</x:f>
        <x:v>0</x:v>
      </x:c>
      <x:c r="K74" s="30" t="n">
        <x:f>G74</x:f>
        <x:v>0.98828125</x:v>
      </x:c>
      <x:c r="L74" s="30" t="n">
        <x:f>0.5*(ABS(G74-1.0)+ABS(H74-0.0)+ABS(I74-0.0)+ABS(J74-0.0))</x:f>
        <x:v>0.01171875</x:v>
      </x:c>
    </x:row>
    <x:row r="75">
      <x:c r="A75" s="29" t="n">
        <x:v>72</x:v>
      </x:c>
      <x:c r="B75" s="29" t="n">
        <x:v>256</x:v>
      </x:c>
      <x:c r="C75" s="29" t="n">
        <x:v>255</x:v>
      </x:c>
      <x:c r="D75" s="29" t="n">
        <x:v>1</x:v>
      </x:c>
      <x:c r="E75" s="29" t="n">
        <x:v>0</x:v>
      </x:c>
      <x:c r="F75" s="29" t="n">
        <x:v>0</x:v>
      </x:c>
      <x:c r="G75" s="30" t="n">
        <x:f>C75/B75</x:f>
        <x:v>0.99609375</x:v>
      </x:c>
      <x:c r="H75" s="30" t="n">
        <x:f>D75/B75</x:f>
        <x:v>0.00390625</x:v>
      </x:c>
      <x:c r="I75" s="30" t="n">
        <x:f>E75/B75</x:f>
        <x:v>0</x:v>
      </x:c>
      <x:c r="J75" s="30" t="n">
        <x:f>F75/B75</x:f>
        <x:v>0</x:v>
      </x:c>
      <x:c r="K75" s="30" t="n">
        <x:f>G75</x:f>
        <x:v>0.99609375</x:v>
      </x:c>
      <x:c r="L75" s="30" t="n">
        <x:f>0.5*(ABS(G75-1.0)+ABS(H75-0.0)+ABS(I75-0.0)+ABS(J75-0.0))</x:f>
        <x:v>0.00390625</x:v>
      </x:c>
    </x:row>
    <x:row r="76">
      <x:c r="A76" s="29" t="n">
        <x:v>73</x:v>
      </x:c>
      <x:c r="B76" s="29" t="n">
        <x:v>256</x:v>
      </x:c>
      <x:c r="C76" s="29" t="n">
        <x:v>253</x:v>
      </x:c>
      <x:c r="D76" s="29" t="n">
        <x:v>3</x:v>
      </x:c>
      <x:c r="E76" s="29" t="n">
        <x:v>0</x:v>
      </x:c>
      <x:c r="F76" s="29" t="n">
        <x:v>0</x:v>
      </x:c>
      <x:c r="G76" s="30" t="n">
        <x:f>C76/B76</x:f>
        <x:v>0.98828125</x:v>
      </x:c>
      <x:c r="H76" s="30" t="n">
        <x:f>D76/B76</x:f>
        <x:v>0.01171875</x:v>
      </x:c>
      <x:c r="I76" s="30" t="n">
        <x:f>E76/B76</x:f>
        <x:v>0</x:v>
      </x:c>
      <x:c r="J76" s="30" t="n">
        <x:f>F76/B76</x:f>
        <x:v>0</x:v>
      </x:c>
      <x:c r="K76" s="30" t="n">
        <x:f>G76</x:f>
        <x:v>0.98828125</x:v>
      </x:c>
      <x:c r="L76" s="30" t="n">
        <x:f>0.5*(ABS(G76-1.0)+ABS(H76-0.0)+ABS(I76-0.0)+ABS(J76-0.0))</x:f>
        <x:v>0.01171875</x:v>
      </x:c>
    </x:row>
    <x:row r="77">
      <x:c r="A77" s="29" t="n">
        <x:v>74</x:v>
      </x:c>
      <x:c r="B77" s="29" t="n">
        <x:v>256</x:v>
      </x:c>
      <x:c r="C77" s="29" t="n">
        <x:v>255</x:v>
      </x:c>
      <x:c r="D77" s="29" t="n">
        <x:v>0</x:v>
      </x:c>
      <x:c r="E77" s="29" t="n">
        <x:v>1</x:v>
      </x:c>
      <x:c r="F77" s="29" t="n">
        <x:v>0</x:v>
      </x:c>
      <x:c r="G77" s="30" t="n">
        <x:f>C77/B77</x:f>
        <x:v>0.99609375</x:v>
      </x:c>
      <x:c r="H77" s="30" t="n">
        <x:f>D77/B77</x:f>
        <x:v>0</x:v>
      </x:c>
      <x:c r="I77" s="30" t="n">
        <x:f>E77/B77</x:f>
        <x:v>0.00390625</x:v>
      </x:c>
      <x:c r="J77" s="30" t="n">
        <x:f>F77/B77</x:f>
        <x:v>0</x:v>
      </x:c>
      <x:c r="K77" s="30" t="n">
        <x:f>G77</x:f>
        <x:v>0.99609375</x:v>
      </x:c>
      <x:c r="L77" s="30" t="n">
        <x:f>0.5*(ABS(G77-1.0)+ABS(H77-0.0)+ABS(I77-0.0)+ABS(J77-0.0))</x:f>
        <x:v>0.00390625</x:v>
      </x:c>
    </x:row>
    <x:row r="78">
      <x:c r="A78" s="29" t="n">
        <x:v>75</x:v>
      </x:c>
      <x:c r="B78" s="29" t="n">
        <x:v>256</x:v>
      </x:c>
      <x:c r="C78" s="29" t="n">
        <x:v>252</x:v>
      </x:c>
      <x:c r="D78" s="29" t="n">
        <x:v>2</x:v>
      </x:c>
      <x:c r="E78" s="29" t="n">
        <x:v>2</x:v>
      </x:c>
      <x:c r="F78" s="29" t="n">
        <x:v>0</x:v>
      </x:c>
      <x:c r="G78" s="30" t="n">
        <x:f>C78/B78</x:f>
        <x:v>0.984375</x:v>
      </x:c>
      <x:c r="H78" s="30" t="n">
        <x:f>D78/B78</x:f>
        <x:v>0.0078125</x:v>
      </x:c>
      <x:c r="I78" s="30" t="n">
        <x:f>E78/B78</x:f>
        <x:v>0.0078125</x:v>
      </x:c>
      <x:c r="J78" s="30" t="n">
        <x:f>F78/B78</x:f>
        <x:v>0</x:v>
      </x:c>
      <x:c r="K78" s="30" t="n">
        <x:f>G78</x:f>
        <x:v>0.984375</x:v>
      </x:c>
      <x:c r="L78" s="30" t="n">
        <x:f>0.5*(ABS(G78-1.0)+ABS(H78-0.0)+ABS(I78-0.0)+ABS(J78-0.0))</x:f>
        <x:v>0.015625</x:v>
      </x:c>
    </x:row>
    <x:row r="79">
      <x:c r="A79" s="29" t="n">
        <x:v>76</x:v>
      </x:c>
      <x:c r="B79" s="29" t="n">
        <x:v>256</x:v>
      </x:c>
      <x:c r="C79" s="29" t="n">
        <x:v>254</x:v>
      </x:c>
      <x:c r="D79" s="29" t="n">
        <x:v>0</x:v>
      </x:c>
      <x:c r="E79" s="29" t="n">
        <x:v>2</x:v>
      </x:c>
      <x:c r="F79" s="29" t="n">
        <x:v>0</x:v>
      </x:c>
      <x:c r="G79" s="30" t="n">
        <x:f>C79/B79</x:f>
        <x:v>0.9921875</x:v>
      </x:c>
      <x:c r="H79" s="30" t="n">
        <x:f>D79/B79</x:f>
        <x:v>0</x:v>
      </x:c>
      <x:c r="I79" s="30" t="n">
        <x:f>E79/B79</x:f>
        <x:v>0.0078125</x:v>
      </x:c>
      <x:c r="J79" s="30" t="n">
        <x:f>F79/B79</x:f>
        <x:v>0</x:v>
      </x:c>
      <x:c r="K79" s="30" t="n">
        <x:f>G79</x:f>
        <x:v>0.9921875</x:v>
      </x:c>
      <x:c r="L79" s="30" t="n">
        <x:f>0.5*(ABS(G79-1.0)+ABS(H79-0.0)+ABS(I79-0.0)+ABS(J79-0.0))</x:f>
        <x:v>0.0078125</x:v>
      </x:c>
    </x:row>
    <x:row r="80">
      <x:c r="A80" s="29" t="n">
        <x:v>77</x:v>
      </x:c>
      <x:c r="B80" s="29" t="n">
        <x:v>256</x:v>
      </x:c>
      <x:c r="C80" s="29" t="n">
        <x:v>252</x:v>
      </x:c>
      <x:c r="D80" s="29" t="n">
        <x:v>0</x:v>
      </x:c>
      <x:c r="E80" s="29" t="n">
        <x:v>4</x:v>
      </x:c>
      <x:c r="F80" s="29" t="n">
        <x:v>0</x:v>
      </x:c>
      <x:c r="G80" s="30" t="n">
        <x:f>C80/B80</x:f>
        <x:v>0.984375</x:v>
      </x:c>
      <x:c r="H80" s="30" t="n">
        <x:f>D80/B80</x:f>
        <x:v>0</x:v>
      </x:c>
      <x:c r="I80" s="30" t="n">
        <x:f>E80/B80</x:f>
        <x:v>0.015625</x:v>
      </x:c>
      <x:c r="J80" s="30" t="n">
        <x:f>F80/B80</x:f>
        <x:v>0</x:v>
      </x:c>
      <x:c r="K80" s="30" t="n">
        <x:f>G80</x:f>
        <x:v>0.984375</x:v>
      </x:c>
      <x:c r="L80" s="30" t="n">
        <x:f>0.5*(ABS(G80-1.0)+ABS(H80-0.0)+ABS(I80-0.0)+ABS(J80-0.0))</x:f>
        <x:v>0.015625</x:v>
      </x:c>
    </x:row>
    <x:row r="81">
      <x:c r="A81" s="29" t="n">
        <x:v>78</x:v>
      </x:c>
      <x:c r="B81" s="29" t="n">
        <x:v>256</x:v>
      </x:c>
      <x:c r="C81" s="29" t="n">
        <x:v>254</x:v>
      </x:c>
      <x:c r="D81" s="29" t="n">
        <x:v>1</x:v>
      </x:c>
      <x:c r="E81" s="29" t="n">
        <x:v>1</x:v>
      </x:c>
      <x:c r="F81" s="29" t="n">
        <x:v>0</x:v>
      </x:c>
      <x:c r="G81" s="30" t="n">
        <x:f>C81/B81</x:f>
        <x:v>0.9921875</x:v>
      </x:c>
      <x:c r="H81" s="30" t="n">
        <x:f>D81/B81</x:f>
        <x:v>0.00390625</x:v>
      </x:c>
      <x:c r="I81" s="30" t="n">
        <x:f>E81/B81</x:f>
        <x:v>0.00390625</x:v>
      </x:c>
      <x:c r="J81" s="30" t="n">
        <x:f>F81/B81</x:f>
        <x:v>0</x:v>
      </x:c>
      <x:c r="K81" s="30" t="n">
        <x:f>G81</x:f>
        <x:v>0.9921875</x:v>
      </x:c>
      <x:c r="L81" s="30" t="n">
        <x:f>0.5*(ABS(G81-1.0)+ABS(H81-0.0)+ABS(I81-0.0)+ABS(J81-0.0))</x:f>
        <x:v>0.0078125</x:v>
      </x:c>
    </x:row>
    <x:row r="82">
      <x:c r="A82" s="29" t="n">
        <x:v>79</x:v>
      </x:c>
      <x:c r="B82" s="29" t="n">
        <x:v>256</x:v>
      </x:c>
      <x:c r="C82" s="29" t="n">
        <x:v>255</x:v>
      </x:c>
      <x:c r="D82" s="29" t="n">
        <x:v>0</x:v>
      </x:c>
      <x:c r="E82" s="29" t="n">
        <x:v>0</x:v>
      </x:c>
      <x:c r="F82" s="29" t="n">
        <x:v>1</x:v>
      </x:c>
      <x:c r="G82" s="30" t="n">
        <x:f>C82/B82</x:f>
        <x:v>0.99609375</x:v>
      </x:c>
      <x:c r="H82" s="30" t="n">
        <x:f>D82/B82</x:f>
        <x:v>0</x:v>
      </x:c>
      <x:c r="I82" s="30" t="n">
        <x:f>E82/B82</x:f>
        <x:v>0</x:v>
      </x:c>
      <x:c r="J82" s="30" t="n">
        <x:f>F82/B82</x:f>
        <x:v>0.00390625</x:v>
      </x:c>
      <x:c r="K82" s="30" t="n">
        <x:f>G82</x:f>
        <x:v>0.99609375</x:v>
      </x:c>
      <x:c r="L82" s="30" t="n">
        <x:f>0.5*(ABS(G82-1.0)+ABS(H82-0.0)+ABS(I82-0.0)+ABS(J82-0.0))</x:f>
        <x:v>0.00390625</x:v>
      </x:c>
    </x:row>
    <x:row r="83">
      <x:c r="A83" s="29" t="n">
        <x:v>80</x:v>
      </x:c>
      <x:c r="B83" s="29" t="n">
        <x:v>256</x:v>
      </x:c>
      <x:c r="C83" s="29" t="n">
        <x:v>254</x:v>
      </x:c>
      <x:c r="D83" s="29" t="n">
        <x:v>0</x:v>
      </x:c>
      <x:c r="E83" s="29" t="n">
        <x:v>1</x:v>
      </x:c>
      <x:c r="F83" s="29" t="n">
        <x:v>1</x:v>
      </x:c>
      <x:c r="G83" s="30" t="n">
        <x:f>C83/B83</x:f>
        <x:v>0.9921875</x:v>
      </x:c>
      <x:c r="H83" s="30" t="n">
        <x:f>D83/B83</x:f>
        <x:v>0</x:v>
      </x:c>
      <x:c r="I83" s="30" t="n">
        <x:f>E83/B83</x:f>
        <x:v>0.00390625</x:v>
      </x:c>
      <x:c r="J83" s="30" t="n">
        <x:f>F83/B83</x:f>
        <x:v>0.00390625</x:v>
      </x:c>
      <x:c r="K83" s="30" t="n">
        <x:f>G83</x:f>
        <x:v>0.9921875</x:v>
      </x:c>
      <x:c r="L83" s="30" t="n">
        <x:f>0.5*(ABS(G83-1.0)+ABS(H83-0.0)+ABS(I83-0.0)+ABS(J83-0.0))</x:f>
        <x:v>0.0078125</x:v>
      </x:c>
    </x:row>
    <x:row r="84">
      <x:c r="A84" s="29" t="n">
        <x:v>81</x:v>
      </x:c>
      <x:c r="B84" s="29" t="n">
        <x:v>256</x:v>
      </x:c>
      <x:c r="C84" s="29" t="n">
        <x:v>250</x:v>
      </x:c>
      <x:c r="D84" s="29" t="n">
        <x:v>3</x:v>
      </x:c>
      <x:c r="E84" s="29" t="n">
        <x:v>3</x:v>
      </x:c>
      <x:c r="F84" s="29" t="n">
        <x:v>0</x:v>
      </x:c>
      <x:c r="G84" s="30" t="n">
        <x:f>C84/B84</x:f>
        <x:v>0.9765625</x:v>
      </x:c>
      <x:c r="H84" s="30" t="n">
        <x:f>D84/B84</x:f>
        <x:v>0.01171875</x:v>
      </x:c>
      <x:c r="I84" s="30" t="n">
        <x:f>E84/B84</x:f>
        <x:v>0.01171875</x:v>
      </x:c>
      <x:c r="J84" s="30" t="n">
        <x:f>F84/B84</x:f>
        <x:v>0</x:v>
      </x:c>
      <x:c r="K84" s="30" t="n">
        <x:f>G84</x:f>
        <x:v>0.9765625</x:v>
      </x:c>
      <x:c r="L84" s="30" t="n">
        <x:f>0.5*(ABS(G84-1.0)+ABS(H84-0.0)+ABS(I84-0.0)+ABS(J84-0.0))</x:f>
        <x:v>0.0234375</x:v>
      </x:c>
    </x:row>
    <x:row r="85">
      <x:c r="A85" s="29" t="n">
        <x:v>82</x:v>
      </x:c>
      <x:c r="B85" s="29" t="n">
        <x:v>256</x:v>
      </x:c>
      <x:c r="C85" s="29" t="n">
        <x:v>251</x:v>
      </x:c>
      <x:c r="D85" s="29" t="n">
        <x:v>3</x:v>
      </x:c>
      <x:c r="E85" s="29" t="n">
        <x:v>2</x:v>
      </x:c>
      <x:c r="F85" s="29" t="n">
        <x:v>0</x:v>
      </x:c>
      <x:c r="G85" s="30" t="n">
        <x:f>C85/B85</x:f>
        <x:v>0.98046875</x:v>
      </x:c>
      <x:c r="H85" s="30" t="n">
        <x:f>D85/B85</x:f>
        <x:v>0.01171875</x:v>
      </x:c>
      <x:c r="I85" s="30" t="n">
        <x:f>E85/B85</x:f>
        <x:v>0.0078125</x:v>
      </x:c>
      <x:c r="J85" s="30" t="n">
        <x:f>F85/B85</x:f>
        <x:v>0</x:v>
      </x:c>
      <x:c r="K85" s="30" t="n">
        <x:f>G85</x:f>
        <x:v>0.98046875</x:v>
      </x:c>
      <x:c r="L85" s="30" t="n">
        <x:f>0.5*(ABS(G85-1.0)+ABS(H85-0.0)+ABS(I85-0.0)+ABS(J85-0.0))</x:f>
        <x:v>0.01953125</x:v>
      </x:c>
    </x:row>
    <x:row r="86">
      <x:c r="A86" s="29" t="n">
        <x:v>83</x:v>
      </x:c>
      <x:c r="B86" s="29" t="n">
        <x:v>256</x:v>
      </x:c>
      <x:c r="C86" s="29" t="n">
        <x:v>253</x:v>
      </x:c>
      <x:c r="D86" s="29" t="n">
        <x:v>0</x:v>
      </x:c>
      <x:c r="E86" s="29" t="n">
        <x:v>3</x:v>
      </x:c>
      <x:c r="F86" s="29" t="n">
        <x:v>0</x:v>
      </x:c>
      <x:c r="G86" s="30" t="n">
        <x:f>C86/B86</x:f>
        <x:v>0.98828125</x:v>
      </x:c>
      <x:c r="H86" s="30" t="n">
        <x:f>D86/B86</x:f>
        <x:v>0</x:v>
      </x:c>
      <x:c r="I86" s="30" t="n">
        <x:f>E86/B86</x:f>
        <x:v>0.01171875</x:v>
      </x:c>
      <x:c r="J86" s="30" t="n">
        <x:f>F86/B86</x:f>
        <x:v>0</x:v>
      </x:c>
      <x:c r="K86" s="30" t="n">
        <x:f>G86</x:f>
        <x:v>0.98828125</x:v>
      </x:c>
      <x:c r="L86" s="30" t="n">
        <x:f>0.5*(ABS(G86-1.0)+ABS(H86-0.0)+ABS(I86-0.0)+ABS(J86-0.0))</x:f>
        <x:v>0.01171875</x:v>
      </x:c>
    </x:row>
    <x:row r="87">
      <x:c r="A87" s="29" t="n">
        <x:v>84</x:v>
      </x:c>
      <x:c r="B87" s="29" t="n">
        <x:v>256</x:v>
      </x:c>
      <x:c r="C87" s="29" t="n">
        <x:v>253</x:v>
      </x:c>
      <x:c r="D87" s="29" t="n">
        <x:v>0</x:v>
      </x:c>
      <x:c r="E87" s="29" t="n">
        <x:v>2</x:v>
      </x:c>
      <x:c r="F87" s="29" t="n">
        <x:v>1</x:v>
      </x:c>
      <x:c r="G87" s="30" t="n">
        <x:f>C87/B87</x:f>
        <x:v>0.98828125</x:v>
      </x:c>
      <x:c r="H87" s="30" t="n">
        <x:f>D87/B87</x:f>
        <x:v>0</x:v>
      </x:c>
      <x:c r="I87" s="30" t="n">
        <x:f>E87/B87</x:f>
        <x:v>0.0078125</x:v>
      </x:c>
      <x:c r="J87" s="30" t="n">
        <x:f>F87/B87</x:f>
        <x:v>0.00390625</x:v>
      </x:c>
      <x:c r="K87" s="30" t="n">
        <x:f>G87</x:f>
        <x:v>0.98828125</x:v>
      </x:c>
      <x:c r="L87" s="30" t="n">
        <x:f>0.5*(ABS(G87-1.0)+ABS(H87-0.0)+ABS(I87-0.0)+ABS(J87-0.0))</x:f>
        <x:v>0.01171875</x:v>
      </x:c>
    </x:row>
    <x:row r="88">
      <x:c r="A88" s="29" t="n">
        <x:v>85</x:v>
      </x:c>
      <x:c r="B88" s="29" t="n">
        <x:v>256</x:v>
      </x:c>
      <x:c r="C88" s="29" t="n">
        <x:v>253</x:v>
      </x:c>
      <x:c r="D88" s="29" t="n">
        <x:v>0</x:v>
      </x:c>
      <x:c r="E88" s="29" t="n">
        <x:v>2</x:v>
      </x:c>
      <x:c r="F88" s="29" t="n">
        <x:v>1</x:v>
      </x:c>
      <x:c r="G88" s="30" t="n">
        <x:f>C88/B88</x:f>
        <x:v>0.98828125</x:v>
      </x:c>
      <x:c r="H88" s="30" t="n">
        <x:f>D88/B88</x:f>
        <x:v>0</x:v>
      </x:c>
      <x:c r="I88" s="30" t="n">
        <x:f>E88/B88</x:f>
        <x:v>0.0078125</x:v>
      </x:c>
      <x:c r="J88" s="30" t="n">
        <x:f>F88/B88</x:f>
        <x:v>0.00390625</x:v>
      </x:c>
      <x:c r="K88" s="30" t="n">
        <x:f>G88</x:f>
        <x:v>0.98828125</x:v>
      </x:c>
      <x:c r="L88" s="30" t="n">
        <x:f>0.5*(ABS(G88-1.0)+ABS(H88-0.0)+ABS(I88-0.0)+ABS(J88-0.0))</x:f>
        <x:v>0.01171875</x:v>
      </x:c>
    </x:row>
    <x:row r="89">
      <x:c r="A89" s="29" t="n">
        <x:v>86</x:v>
      </x:c>
      <x:c r="B89" s="29" t="n">
        <x:v>256</x:v>
      </x:c>
      <x:c r="C89" s="29" t="n">
        <x:v>254</x:v>
      </x:c>
      <x:c r="D89" s="29" t="n">
        <x:v>1</x:v>
      </x:c>
      <x:c r="E89" s="29" t="n">
        <x:v>0</x:v>
      </x:c>
      <x:c r="F89" s="29" t="n">
        <x:v>1</x:v>
      </x:c>
      <x:c r="G89" s="30" t="n">
        <x:f>C89/B89</x:f>
        <x:v>0.9921875</x:v>
      </x:c>
      <x:c r="H89" s="30" t="n">
        <x:f>D89/B89</x:f>
        <x:v>0.00390625</x:v>
      </x:c>
      <x:c r="I89" s="30" t="n">
        <x:f>E89/B89</x:f>
        <x:v>0</x:v>
      </x:c>
      <x:c r="J89" s="30" t="n">
        <x:f>F89/B89</x:f>
        <x:v>0.00390625</x:v>
      </x:c>
      <x:c r="K89" s="30" t="n">
        <x:f>G89</x:f>
        <x:v>0.9921875</x:v>
      </x:c>
      <x:c r="L89" s="30" t="n">
        <x:f>0.5*(ABS(G89-1.0)+ABS(H89-0.0)+ABS(I89-0.0)+ABS(J89-0.0))</x:f>
        <x:v>0.0078125</x:v>
      </x:c>
    </x:row>
    <x:row r="90">
      <x:c r="A90" s="29" t="n">
        <x:v>87</x:v>
      </x:c>
      <x:c r="B90" s="29" t="n">
        <x:v>256</x:v>
      </x:c>
      <x:c r="C90" s="29" t="n">
        <x:v>253</x:v>
      </x:c>
      <x:c r="D90" s="29" t="n">
        <x:v>1</x:v>
      </x:c>
      <x:c r="E90" s="29" t="n">
        <x:v>1</x:v>
      </x:c>
      <x:c r="F90" s="29" t="n">
        <x:v>1</x:v>
      </x:c>
      <x:c r="G90" s="30" t="n">
        <x:f>C90/B90</x:f>
        <x:v>0.98828125</x:v>
      </x:c>
      <x:c r="H90" s="30" t="n">
        <x:f>D90/B90</x:f>
        <x:v>0.00390625</x:v>
      </x:c>
      <x:c r="I90" s="30" t="n">
        <x:f>E90/B90</x:f>
        <x:v>0.00390625</x:v>
      </x:c>
      <x:c r="J90" s="30" t="n">
        <x:f>F90/B90</x:f>
        <x:v>0.00390625</x:v>
      </x:c>
      <x:c r="K90" s="30" t="n">
        <x:f>G90</x:f>
        <x:v>0.98828125</x:v>
      </x:c>
      <x:c r="L90" s="30" t="n">
        <x:f>0.5*(ABS(G90-1.0)+ABS(H90-0.0)+ABS(I90-0.0)+ABS(J90-0.0))</x:f>
        <x:v>0.01171875</x:v>
      </x:c>
    </x:row>
    <x:row r="91">
      <x:c r="A91" s="29" t="n">
        <x:v>88</x:v>
      </x:c>
      <x:c r="B91" s="29" t="n">
        <x:v>256</x:v>
      </x:c>
      <x:c r="C91" s="29" t="n">
        <x:v>253</x:v>
      </x:c>
      <x:c r="D91" s="29" t="n">
        <x:v>0</x:v>
      </x:c>
      <x:c r="E91" s="29" t="n">
        <x:v>1</x:v>
      </x:c>
      <x:c r="F91" s="29" t="n">
        <x:v>2</x:v>
      </x:c>
      <x:c r="G91" s="30" t="n">
        <x:f>C91/B91</x:f>
        <x:v>0.98828125</x:v>
      </x:c>
      <x:c r="H91" s="30" t="n">
        <x:f>D91/B91</x:f>
        <x:v>0</x:v>
      </x:c>
      <x:c r="I91" s="30" t="n">
        <x:f>E91/B91</x:f>
        <x:v>0.00390625</x:v>
      </x:c>
      <x:c r="J91" s="30" t="n">
        <x:f>F91/B91</x:f>
        <x:v>0.0078125</x:v>
      </x:c>
      <x:c r="K91" s="30" t="n">
        <x:f>G91</x:f>
        <x:v>0.98828125</x:v>
      </x:c>
      <x:c r="L91" s="30" t="n">
        <x:f>0.5*(ABS(G91-1.0)+ABS(H91-0.0)+ABS(I91-0.0)+ABS(J91-0.0))</x:f>
        <x:v>0.01171875</x:v>
      </x:c>
    </x:row>
    <x:row r="92">
      <x:c r="A92" s="29" t="n">
        <x:v>89</x:v>
      </x:c>
      <x:c r="B92" s="29" t="n">
        <x:v>256</x:v>
      </x:c>
      <x:c r="C92" s="29" t="n">
        <x:v>253</x:v>
      </x:c>
      <x:c r="D92" s="29" t="n">
        <x:v>1</x:v>
      </x:c>
      <x:c r="E92" s="29" t="n">
        <x:v>2</x:v>
      </x:c>
      <x:c r="F92" s="29" t="n">
        <x:v>0</x:v>
      </x:c>
      <x:c r="G92" s="30" t="n">
        <x:f>C92/B92</x:f>
        <x:v>0.98828125</x:v>
      </x:c>
      <x:c r="H92" s="30" t="n">
        <x:f>D92/B92</x:f>
        <x:v>0.00390625</x:v>
      </x:c>
      <x:c r="I92" s="30" t="n">
        <x:f>E92/B92</x:f>
        <x:v>0.0078125</x:v>
      </x:c>
      <x:c r="J92" s="30" t="n">
        <x:f>F92/B92</x:f>
        <x:v>0</x:v>
      </x:c>
      <x:c r="K92" s="30" t="n">
        <x:f>G92</x:f>
        <x:v>0.98828125</x:v>
      </x:c>
      <x:c r="L92" s="30" t="n">
        <x:f>0.5*(ABS(G92-1.0)+ABS(H92-0.0)+ABS(I92-0.0)+ABS(J92-0.0))</x:f>
        <x:v>0.01171875</x:v>
      </x:c>
    </x:row>
    <x:row r="93">
      <x:c r="A93" s="29" t="n">
        <x:v>90</x:v>
      </x:c>
      <x:c r="B93" s="29" t="n">
        <x:v>256</x:v>
      </x:c>
      <x:c r="C93" s="29" t="n">
        <x:v>252</x:v>
      </x:c>
      <x:c r="D93" s="29" t="n">
        <x:v>3</x:v>
      </x:c>
      <x:c r="E93" s="29" t="n">
        <x:v>1</x:v>
      </x:c>
      <x:c r="F93" s="29" t="n">
        <x:v>0</x:v>
      </x:c>
      <x:c r="G93" s="30" t="n">
        <x:f>C93/B93</x:f>
        <x:v>0.984375</x:v>
      </x:c>
      <x:c r="H93" s="30" t="n">
        <x:f>D93/B93</x:f>
        <x:v>0.01171875</x:v>
      </x:c>
      <x:c r="I93" s="30" t="n">
        <x:f>E93/B93</x:f>
        <x:v>0.00390625</x:v>
      </x:c>
      <x:c r="J93" s="30" t="n">
        <x:f>F93/B93</x:f>
        <x:v>0</x:v>
      </x:c>
      <x:c r="K93" s="30" t="n">
        <x:f>G93</x:f>
        <x:v>0.984375</x:v>
      </x:c>
      <x:c r="L93" s="30" t="n">
        <x:f>0.5*(ABS(G93-1.0)+ABS(H93-0.0)+ABS(I93-0.0)+ABS(J93-0.0))</x:f>
        <x:v>0.015625</x:v>
      </x:c>
    </x:row>
    <x:row r="94">
      <x:c r="A94" s="29" t="n">
        <x:v>91</x:v>
      </x:c>
      <x:c r="B94" s="29" t="n">
        <x:v>256</x:v>
      </x:c>
      <x:c r="C94" s="29" t="n">
        <x:v>252</x:v>
      </x:c>
      <x:c r="D94" s="29" t="n">
        <x:v>0</x:v>
      </x:c>
      <x:c r="E94" s="29" t="n">
        <x:v>2</x:v>
      </x:c>
      <x:c r="F94" s="29" t="n">
        <x:v>2</x:v>
      </x:c>
      <x:c r="G94" s="30" t="n">
        <x:f>C94/B94</x:f>
        <x:v>0.984375</x:v>
      </x:c>
      <x:c r="H94" s="30" t="n">
        <x:f>D94/B94</x:f>
        <x:v>0</x:v>
      </x:c>
      <x:c r="I94" s="30" t="n">
        <x:f>E94/B94</x:f>
        <x:v>0.0078125</x:v>
      </x:c>
      <x:c r="J94" s="30" t="n">
        <x:f>F94/B94</x:f>
        <x:v>0.0078125</x:v>
      </x:c>
      <x:c r="K94" s="30" t="n">
        <x:f>G94</x:f>
        <x:v>0.984375</x:v>
      </x:c>
      <x:c r="L94" s="30" t="n">
        <x:f>0.5*(ABS(G94-1.0)+ABS(H94-0.0)+ABS(I94-0.0)+ABS(J94-0.0))</x:f>
        <x:v>0.015625</x:v>
      </x:c>
    </x:row>
    <x:row r="95">
      <x:c r="A95" s="29" t="n">
        <x:v>92</x:v>
      </x:c>
      <x:c r="B95" s="29" t="n">
        <x:v>256</x:v>
      </x:c>
      <x:c r="C95" s="29" t="n">
        <x:v>251</x:v>
      </x:c>
      <x:c r="D95" s="29" t="n">
        <x:v>3</x:v>
      </x:c>
      <x:c r="E95" s="29" t="n">
        <x:v>1</x:v>
      </x:c>
      <x:c r="F95" s="29" t="n">
        <x:v>1</x:v>
      </x:c>
      <x:c r="G95" s="30" t="n">
        <x:f>C95/B95</x:f>
        <x:v>0.98046875</x:v>
      </x:c>
      <x:c r="H95" s="30" t="n">
        <x:f>D95/B95</x:f>
        <x:v>0.01171875</x:v>
      </x:c>
      <x:c r="I95" s="30" t="n">
        <x:f>E95/B95</x:f>
        <x:v>0.00390625</x:v>
      </x:c>
      <x:c r="J95" s="30" t="n">
        <x:f>F95/B95</x:f>
        <x:v>0.00390625</x:v>
      </x:c>
      <x:c r="K95" s="30" t="n">
        <x:f>G95</x:f>
        <x:v>0.98046875</x:v>
      </x:c>
      <x:c r="L95" s="30" t="n">
        <x:f>0.5*(ABS(G95-1.0)+ABS(H95-0.0)+ABS(I95-0.0)+ABS(J95-0.0))</x:f>
        <x:v>0.01953125</x:v>
      </x:c>
    </x:row>
    <x:row r="96">
      <x:c r="A96" s="29" t="n">
        <x:v>93</x:v>
      </x:c>
      <x:c r="B96" s="29" t="n">
        <x:v>256</x:v>
      </x:c>
      <x:c r="C96" s="29" t="n">
        <x:v>256</x:v>
      </x:c>
      <x:c r="D96" s="29" t="n">
        <x:v>0</x:v>
      </x:c>
      <x:c r="E96" s="29" t="n">
        <x:v>0</x:v>
      </x:c>
      <x:c r="F96" s="29" t="n">
        <x:v>0</x:v>
      </x:c>
      <x:c r="G96" s="30" t="n">
        <x:f>C96/B96</x:f>
        <x:v>1</x:v>
      </x:c>
      <x:c r="H96" s="30" t="n">
        <x:f>D96/B96</x:f>
        <x:v>0</x:v>
      </x:c>
      <x:c r="I96" s="30" t="n">
        <x:f>E96/B96</x:f>
        <x:v>0</x:v>
      </x:c>
      <x:c r="J96" s="30" t="n">
        <x:f>F96/B96</x:f>
        <x:v>0</x:v>
      </x:c>
      <x:c r="K96" s="30" t="n">
        <x:f>G96</x:f>
        <x:v>1</x:v>
      </x:c>
      <x:c r="L96" s="30" t="n">
        <x:f>0.5*(ABS(G96-1.0)+ABS(H96-0.0)+ABS(I96-0.0)+ABS(J96-0.0))</x:f>
        <x:v>0</x:v>
      </x:c>
    </x:row>
    <x:row r="97">
      <x:c r="A97" s="29" t="n">
        <x:v>94</x:v>
      </x:c>
      <x:c r="B97" s="29" t="n">
        <x:v>256</x:v>
      </x:c>
      <x:c r="C97" s="29" t="n">
        <x:v>253</x:v>
      </x:c>
      <x:c r="D97" s="29" t="n">
        <x:v>2</x:v>
      </x:c>
      <x:c r="E97" s="29" t="n">
        <x:v>0</x:v>
      </x:c>
      <x:c r="F97" s="29" t="n">
        <x:v>1</x:v>
      </x:c>
      <x:c r="G97" s="30" t="n">
        <x:f>C97/B97</x:f>
        <x:v>0.98828125</x:v>
      </x:c>
      <x:c r="H97" s="30" t="n">
        <x:f>D97/B97</x:f>
        <x:v>0.0078125</x:v>
      </x:c>
      <x:c r="I97" s="30" t="n">
        <x:f>E97/B97</x:f>
        <x:v>0</x:v>
      </x:c>
      <x:c r="J97" s="30" t="n">
        <x:f>F97/B97</x:f>
        <x:v>0.00390625</x:v>
      </x:c>
      <x:c r="K97" s="30" t="n">
        <x:f>G97</x:f>
        <x:v>0.98828125</x:v>
      </x:c>
      <x:c r="L97" s="30" t="n">
        <x:f>0.5*(ABS(G97-1.0)+ABS(H97-0.0)+ABS(I97-0.0)+ABS(J97-0.0))</x:f>
        <x:v>0.01171875</x:v>
      </x:c>
    </x:row>
    <x:row r="98">
      <x:c r="A98" s="29" t="n">
        <x:v>95</x:v>
      </x:c>
      <x:c r="B98" s="29" t="n">
        <x:v>256</x:v>
      </x:c>
      <x:c r="C98" s="29" t="n">
        <x:v>254</x:v>
      </x:c>
      <x:c r="D98" s="29" t="n">
        <x:v>1</x:v>
      </x:c>
      <x:c r="E98" s="29" t="n">
        <x:v>0</x:v>
      </x:c>
      <x:c r="F98" s="29" t="n">
        <x:v>1</x:v>
      </x:c>
      <x:c r="G98" s="30" t="n">
        <x:f>C98/B98</x:f>
        <x:v>0.9921875</x:v>
      </x:c>
      <x:c r="H98" s="30" t="n">
        <x:f>D98/B98</x:f>
        <x:v>0.00390625</x:v>
      </x:c>
      <x:c r="I98" s="30" t="n">
        <x:f>E98/B98</x:f>
        <x:v>0</x:v>
      </x:c>
      <x:c r="J98" s="30" t="n">
        <x:f>F98/B98</x:f>
        <x:v>0.00390625</x:v>
      </x:c>
      <x:c r="K98" s="30" t="n">
        <x:f>G98</x:f>
        <x:v>0.9921875</x:v>
      </x:c>
      <x:c r="L98" s="30" t="n">
        <x:f>0.5*(ABS(G98-1.0)+ABS(H98-0.0)+ABS(I98-0.0)+ABS(J98-0.0))</x:f>
        <x:v>0.0078125</x:v>
      </x:c>
    </x:row>
    <x:row r="99">
      <x:c r="A99" s="29" t="n">
        <x:v>96</x:v>
      </x:c>
      <x:c r="B99" s="29" t="n">
        <x:v>256</x:v>
      </x:c>
      <x:c r="C99" s="29" t="n">
        <x:v>254</x:v>
      </x:c>
      <x:c r="D99" s="29" t="n">
        <x:v>1</x:v>
      </x:c>
      <x:c r="E99" s="29" t="n">
        <x:v>1</x:v>
      </x:c>
      <x:c r="F99" s="29" t="n">
        <x:v>0</x:v>
      </x:c>
      <x:c r="G99" s="30" t="n">
        <x:f>C99/B99</x:f>
        <x:v>0.9921875</x:v>
      </x:c>
      <x:c r="H99" s="30" t="n">
        <x:f>D99/B99</x:f>
        <x:v>0.00390625</x:v>
      </x:c>
      <x:c r="I99" s="30" t="n">
        <x:f>E99/B99</x:f>
        <x:v>0.00390625</x:v>
      </x:c>
      <x:c r="J99" s="30" t="n">
        <x:f>F99/B99</x:f>
        <x:v>0</x:v>
      </x:c>
      <x:c r="K99" s="30" t="n">
        <x:f>G99</x:f>
        <x:v>0.9921875</x:v>
      </x:c>
      <x:c r="L99" s="30" t="n">
        <x:f>0.5*(ABS(G99-1.0)+ABS(H99-0.0)+ABS(I99-0.0)+ABS(J99-0.0))</x:f>
        <x:v>0.0078125</x:v>
      </x:c>
    </x:row>
    <x:row r="100">
      <x:c r="A100" s="29" t="n">
        <x:v>97</x:v>
      </x:c>
      <x:c r="B100" s="29" t="n">
        <x:v>256</x:v>
      </x:c>
      <x:c r="C100" s="29" t="n">
        <x:v>254</x:v>
      </x:c>
      <x:c r="D100" s="29" t="n">
        <x:v>1</x:v>
      </x:c>
      <x:c r="E100" s="29" t="n">
        <x:v>1</x:v>
      </x:c>
      <x:c r="F100" s="29" t="n">
        <x:v>0</x:v>
      </x:c>
      <x:c r="G100" s="30" t="n">
        <x:f>C100/B100</x:f>
        <x:v>0.9921875</x:v>
      </x:c>
      <x:c r="H100" s="30" t="n">
        <x:f>D100/B100</x:f>
        <x:v>0.00390625</x:v>
      </x:c>
      <x:c r="I100" s="30" t="n">
        <x:f>E100/B100</x:f>
        <x:v>0.00390625</x:v>
      </x:c>
      <x:c r="J100" s="30" t="n">
        <x:f>F100/B100</x:f>
        <x:v>0</x:v>
      </x:c>
      <x:c r="K100" s="30" t="n">
        <x:f>G100</x:f>
        <x:v>0.9921875</x:v>
      </x:c>
      <x:c r="L100" s="30" t="n">
        <x:f>0.5*(ABS(G100-1.0)+ABS(H100-0.0)+ABS(I100-0.0)+ABS(J100-0.0))</x:f>
        <x:v>0.0078125</x:v>
      </x:c>
    </x:row>
    <x:row r="101">
      <x:c r="A101" s="29" t="n">
        <x:v>98</x:v>
      </x:c>
      <x:c r="B101" s="29" t="n">
        <x:v>256</x:v>
      </x:c>
      <x:c r="C101" s="29" t="n">
        <x:v>255</x:v>
      </x:c>
      <x:c r="D101" s="29" t="n">
        <x:v>0</x:v>
      </x:c>
      <x:c r="E101" s="29" t="n">
        <x:v>1</x:v>
      </x:c>
      <x:c r="F101" s="29" t="n">
        <x:v>0</x:v>
      </x:c>
      <x:c r="G101" s="30" t="n">
        <x:f>C101/B101</x:f>
        <x:v>0.99609375</x:v>
      </x:c>
      <x:c r="H101" s="30" t="n">
        <x:f>D101/B101</x:f>
        <x:v>0</x:v>
      </x:c>
      <x:c r="I101" s="30" t="n">
        <x:f>E101/B101</x:f>
        <x:v>0.00390625</x:v>
      </x:c>
      <x:c r="J101" s="30" t="n">
        <x:f>F101/B101</x:f>
        <x:v>0</x:v>
      </x:c>
      <x:c r="K101" s="30" t="n">
        <x:f>G101</x:f>
        <x:v>0.99609375</x:v>
      </x:c>
      <x:c r="L101" s="30" t="n">
        <x:f>0.5*(ABS(G101-1.0)+ABS(H101-0.0)+ABS(I101-0.0)+ABS(J101-0.0))</x:f>
        <x:v>0.00390625</x:v>
      </x:c>
    </x:row>
    <x:row r="102">
      <x:c r="A102" s="29" t="n">
        <x:v>99</x:v>
      </x:c>
      <x:c r="B102" s="29" t="n">
        <x:v>256</x:v>
      </x:c>
      <x:c r="C102" s="29" t="n">
        <x:v>252</x:v>
      </x:c>
      <x:c r="D102" s="29" t="n">
        <x:v>2</x:v>
      </x:c>
      <x:c r="E102" s="29" t="n">
        <x:v>1</x:v>
      </x:c>
      <x:c r="F102" s="29" t="n">
        <x:v>1</x:v>
      </x:c>
      <x:c r="G102" s="30" t="n">
        <x:f>C102/B102</x:f>
        <x:v>0.984375</x:v>
      </x:c>
      <x:c r="H102" s="30" t="n">
        <x:f>D102/B102</x:f>
        <x:v>0.0078125</x:v>
      </x:c>
      <x:c r="I102" s="30" t="n">
        <x:f>E102/B102</x:f>
        <x:v>0.00390625</x:v>
      </x:c>
      <x:c r="J102" s="30" t="n">
        <x:f>F102/B102</x:f>
        <x:v>0.00390625</x:v>
      </x:c>
      <x:c r="K102" s="30" t="n">
        <x:f>G102</x:f>
        <x:v>0.984375</x:v>
      </x:c>
      <x:c r="L102" s="30" t="n">
        <x:f>0.5*(ABS(G102-1.0)+ABS(H102-0.0)+ABS(I102-0.0)+ABS(J102-0.0))</x:f>
        <x:v>0.015625</x:v>
      </x:c>
    </x:row>
    <x:row r="103">
      <x:c r="A103" s="29" t="n">
        <x:v>100</x:v>
      </x:c>
      <x:c r="B103" s="29" t="n">
        <x:v>256</x:v>
      </x:c>
      <x:c r="C103" s="29" t="n">
        <x:v>252</x:v>
      </x:c>
      <x:c r="D103" s="29" t="n">
        <x:v>2</x:v>
      </x:c>
      <x:c r="E103" s="29" t="n">
        <x:v>1</x:v>
      </x:c>
      <x:c r="F103" s="29" t="n">
        <x:v>1</x:v>
      </x:c>
      <x:c r="G103" s="30" t="n">
        <x:f>C103/B103</x:f>
        <x:v>0.984375</x:v>
      </x:c>
      <x:c r="H103" s="30" t="n">
        <x:f>D103/B103</x:f>
        <x:v>0.0078125</x:v>
      </x:c>
      <x:c r="I103" s="30" t="n">
        <x:f>E103/B103</x:f>
        <x:v>0.00390625</x:v>
      </x:c>
      <x:c r="J103" s="30" t="n">
        <x:f>F103/B103</x:f>
        <x:v>0.00390625</x:v>
      </x:c>
      <x:c r="K103" s="30" t="n">
        <x:f>G103</x:f>
        <x:v>0.984375</x:v>
      </x:c>
      <x:c r="L103" s="30" t="n">
        <x:f>0.5*(ABS(G103-1.0)+ABS(H103-0.0)+ABS(I103-0.0)+ABS(J103-0.0))</x:f>
        <x:v>0.015625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Raw counts and derived probabilities: (I,iZ)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8" t="str">
        <x:v>run</x:v>
      </x:c>
      <x:c r="B3" s="28" t="str">
        <x:v>shots</x:v>
      </x:c>
      <x:c r="C3" s="28" t="str">
        <x:v>count_00</x:v>
      </x:c>
      <x:c r="D3" s="28" t="str">
        <x:v>count_01</x:v>
      </x:c>
      <x:c r="E3" s="28" t="str">
        <x:v>count_10</x:v>
      </x:c>
      <x:c r="F3" s="28" t="str">
        <x:v>count_11</x:v>
      </x:c>
      <x:c r="G3" s="28" t="str">
        <x:v>p00</x:v>
      </x:c>
      <x:c r="H3" s="28" t="str">
        <x:v>p01</x:v>
      </x:c>
      <x:c r="I3" s="28" t="str">
        <x:v>p10</x:v>
      </x:c>
      <x:c r="J3" s="28" t="str">
        <x:v>p11</x:v>
      </x:c>
      <x:c r="K3" s="28" t="str">
        <x:v>target_probability</x:v>
      </x:c>
      <x:c r="L3" s="28" t="str">
        <x:v>TVD</x:v>
      </x:c>
    </x:row>
    <x:row r="4">
      <x:c r="A4" s="29" t="n">
        <x:v>1</x:v>
      </x:c>
      <x:c r="B4" s="29" t="n">
        <x:v>256</x:v>
      </x:c>
      <x:c r="C4" s="29" t="n">
        <x:v>5</x:v>
      </x:c>
      <x:c r="D4" s="29" t="n">
        <x:v>3</x:v>
      </x:c>
      <x:c r="E4" s="29" t="n">
        <x:v>3</x:v>
      </x:c>
      <x:c r="F4" s="29" t="n">
        <x:v>245</x:v>
      </x:c>
      <x:c r="G4" s="30" t="n">
        <x:f>C4/B4</x:f>
        <x:v>0.01953125</x:v>
      </x:c>
      <x:c r="H4" s="30" t="n">
        <x:f>D4/B4</x:f>
        <x:v>0.01171875</x:v>
      </x:c>
      <x:c r="I4" s="30" t="n">
        <x:f>E4/B4</x:f>
        <x:v>0.01171875</x:v>
      </x:c>
      <x:c r="J4" s="30" t="n">
        <x:f>F4/B4</x:f>
        <x:v>0.95703125</x:v>
      </x:c>
      <x:c r="K4" s="30" t="n">
        <x:f>J4</x:f>
        <x:v>0.95703125</x:v>
      </x:c>
      <x:c r="L4" s="30" t="n">
        <x:f>0.5*(ABS(G4-0.0)+ABS(H4-0.0)+ABS(I4-0.0)+ABS(J4-1.0))</x:f>
        <x:v>0.04296875</x:v>
      </x:c>
    </x:row>
    <x:row r="5">
      <x:c r="A5" s="29" t="n">
        <x:v>2</x:v>
      </x:c>
      <x:c r="B5" s="29" t="n">
        <x:v>256</x:v>
      </x:c>
      <x:c r="C5" s="29" t="n">
        <x:v>4</x:v>
      </x:c>
      <x:c r="D5" s="29" t="n">
        <x:v>2</x:v>
      </x:c>
      <x:c r="E5" s="29" t="n">
        <x:v>3</x:v>
      </x:c>
      <x:c r="F5" s="29" t="n">
        <x:v>247</x:v>
      </x:c>
      <x:c r="G5" s="30" t="n">
        <x:f>C5/B5</x:f>
        <x:v>0.015625</x:v>
      </x:c>
      <x:c r="H5" s="30" t="n">
        <x:f>D5/B5</x:f>
        <x:v>0.0078125</x:v>
      </x:c>
      <x:c r="I5" s="30" t="n">
        <x:f>E5/B5</x:f>
        <x:v>0.01171875</x:v>
      </x:c>
      <x:c r="J5" s="30" t="n">
        <x:f>F5/B5</x:f>
        <x:v>0.96484375</x:v>
      </x:c>
      <x:c r="K5" s="30" t="n">
        <x:f>J5</x:f>
        <x:v>0.96484375</x:v>
      </x:c>
      <x:c r="L5" s="30" t="n">
        <x:f>0.5*(ABS(G5-0.0)+ABS(H5-0.0)+ABS(I5-0.0)+ABS(J5-1.0))</x:f>
        <x:v>0.03515625</x:v>
      </x:c>
    </x:row>
    <x:row r="6">
      <x:c r="A6" s="29" t="n">
        <x:v>3</x:v>
      </x:c>
      <x:c r="B6" s="29" t="n">
        <x:v>256</x:v>
      </x:c>
      <x:c r="C6" s="29" t="n">
        <x:v>3</x:v>
      </x:c>
      <x:c r="D6" s="29" t="n">
        <x:v>2</x:v>
      </x:c>
      <x:c r="E6" s="29" t="n">
        <x:v>3</x:v>
      </x:c>
      <x:c r="F6" s="29" t="n">
        <x:v>248</x:v>
      </x:c>
      <x:c r="G6" s="30" t="n">
        <x:f>C6/B6</x:f>
        <x:v>0.01171875</x:v>
      </x:c>
      <x:c r="H6" s="30" t="n">
        <x:f>D6/B6</x:f>
        <x:v>0.0078125</x:v>
      </x:c>
      <x:c r="I6" s="30" t="n">
        <x:f>E6/B6</x:f>
        <x:v>0.01171875</x:v>
      </x:c>
      <x:c r="J6" s="30" t="n">
        <x:f>F6/B6</x:f>
        <x:v>0.96875</x:v>
      </x:c>
      <x:c r="K6" s="30" t="n">
        <x:f>J6</x:f>
        <x:v>0.96875</x:v>
      </x:c>
      <x:c r="L6" s="30" t="n">
        <x:f>0.5*(ABS(G6-0.0)+ABS(H6-0.0)+ABS(I6-0.0)+ABS(J6-1.0))</x:f>
        <x:v>0.03125</x:v>
      </x:c>
    </x:row>
    <x:row r="7">
      <x:c r="A7" s="29" t="n">
        <x:v>4</x:v>
      </x:c>
      <x:c r="B7" s="29" t="n">
        <x:v>256</x:v>
      </x:c>
      <x:c r="C7" s="29" t="n">
        <x:v>1</x:v>
      </x:c>
      <x:c r="D7" s="29" t="n">
        <x:v>1</x:v>
      </x:c>
      <x:c r="E7" s="29" t="n">
        <x:v>0</x:v>
      </x:c>
      <x:c r="F7" s="29" t="n">
        <x:v>254</x:v>
      </x:c>
      <x:c r="G7" s="30" t="n">
        <x:f>C7/B7</x:f>
        <x:v>0.00390625</x:v>
      </x:c>
      <x:c r="H7" s="30" t="n">
        <x:f>D7/B7</x:f>
        <x:v>0.00390625</x:v>
      </x:c>
      <x:c r="I7" s="30" t="n">
        <x:f>E7/B7</x:f>
        <x:v>0</x:v>
      </x:c>
      <x:c r="J7" s="30" t="n">
        <x:f>F7/B7</x:f>
        <x:v>0.9921875</x:v>
      </x:c>
      <x:c r="K7" s="30" t="n">
        <x:f>J7</x:f>
        <x:v>0.9921875</x:v>
      </x:c>
      <x:c r="L7" s="30" t="n">
        <x:f>0.5*(ABS(G7-0.0)+ABS(H7-0.0)+ABS(I7-0.0)+ABS(J7-1.0))</x:f>
        <x:v>0.0078125</x:v>
      </x:c>
    </x:row>
    <x:row r="8">
      <x:c r="A8" s="29" t="n">
        <x:v>5</x:v>
      </x:c>
      <x:c r="B8" s="29" t="n">
        <x:v>256</x:v>
      </x:c>
      <x:c r="C8" s="29" t="n">
        <x:v>1</x:v>
      </x:c>
      <x:c r="D8" s="29" t="n">
        <x:v>1</x:v>
      </x:c>
      <x:c r="E8" s="29" t="n">
        <x:v>4</x:v>
      </x:c>
      <x:c r="F8" s="29" t="n">
        <x:v>250</x:v>
      </x:c>
      <x:c r="G8" s="30" t="n">
        <x:f>C8/B8</x:f>
        <x:v>0.00390625</x:v>
      </x:c>
      <x:c r="H8" s="30" t="n">
        <x:f>D8/B8</x:f>
        <x:v>0.00390625</x:v>
      </x:c>
      <x:c r="I8" s="30" t="n">
        <x:f>E8/B8</x:f>
        <x:v>0.015625</x:v>
      </x:c>
      <x:c r="J8" s="30" t="n">
        <x:f>F8/B8</x:f>
        <x:v>0.9765625</x:v>
      </x:c>
      <x:c r="K8" s="30" t="n">
        <x:f>J8</x:f>
        <x:v>0.9765625</x:v>
      </x:c>
      <x:c r="L8" s="30" t="n">
        <x:f>0.5*(ABS(G8-0.0)+ABS(H8-0.0)+ABS(I8-0.0)+ABS(J8-1.0))</x:f>
        <x:v>0.0234375</x:v>
      </x:c>
    </x:row>
    <x:row r="9">
      <x:c r="A9" s="29" t="n">
        <x:v>6</x:v>
      </x:c>
      <x:c r="B9" s="29" t="n">
        <x:v>256</x:v>
      </x:c>
      <x:c r="C9" s="29" t="n">
        <x:v>2</x:v>
      </x:c>
      <x:c r="D9" s="29" t="n">
        <x:v>2</x:v>
      </x:c>
      <x:c r="E9" s="29" t="n">
        <x:v>3</x:v>
      </x:c>
      <x:c r="F9" s="29" t="n">
        <x:v>249</x:v>
      </x:c>
      <x:c r="G9" s="30" t="n">
        <x:f>C9/B9</x:f>
        <x:v>0.0078125</x:v>
      </x:c>
      <x:c r="H9" s="30" t="n">
        <x:f>D9/B9</x:f>
        <x:v>0.0078125</x:v>
      </x:c>
      <x:c r="I9" s="30" t="n">
        <x:f>E9/B9</x:f>
        <x:v>0.01171875</x:v>
      </x:c>
      <x:c r="J9" s="30" t="n">
        <x:f>F9/B9</x:f>
        <x:v>0.97265625</x:v>
      </x:c>
      <x:c r="K9" s="30" t="n">
        <x:f>J9</x:f>
        <x:v>0.97265625</x:v>
      </x:c>
      <x:c r="L9" s="30" t="n">
        <x:f>0.5*(ABS(G9-0.0)+ABS(H9-0.0)+ABS(I9-0.0)+ABS(J9-1.0))</x:f>
        <x:v>0.02734375</x:v>
      </x:c>
    </x:row>
    <x:row r="10">
      <x:c r="A10" s="29" t="n">
        <x:v>7</x:v>
      </x:c>
      <x:c r="B10" s="29" t="n">
        <x:v>256</x:v>
      </x:c>
      <x:c r="C10" s="29" t="n">
        <x:v>7</x:v>
      </x:c>
      <x:c r="D10" s="29" t="n">
        <x:v>2</x:v>
      </x:c>
      <x:c r="E10" s="29" t="n">
        <x:v>2</x:v>
      </x:c>
      <x:c r="F10" s="29" t="n">
        <x:v>245</x:v>
      </x:c>
      <x:c r="G10" s="30" t="n">
        <x:f>C10/B10</x:f>
        <x:v>0.02734375</x:v>
      </x:c>
      <x:c r="H10" s="30" t="n">
        <x:f>D10/B10</x:f>
        <x:v>0.0078125</x:v>
      </x:c>
      <x:c r="I10" s="30" t="n">
        <x:f>E10/B10</x:f>
        <x:v>0.0078125</x:v>
      </x:c>
      <x:c r="J10" s="30" t="n">
        <x:f>F10/B10</x:f>
        <x:v>0.95703125</x:v>
      </x:c>
      <x:c r="K10" s="30" t="n">
        <x:f>J10</x:f>
        <x:v>0.95703125</x:v>
      </x:c>
      <x:c r="L10" s="30" t="n">
        <x:f>0.5*(ABS(G10-0.0)+ABS(H10-0.0)+ABS(I10-0.0)+ABS(J10-1.0))</x:f>
        <x:v>0.04296875</x:v>
      </x:c>
    </x:row>
    <x:row r="11">
      <x:c r="A11" s="29" t="n">
        <x:v>8</x:v>
      </x:c>
      <x:c r="B11" s="29" t="n">
        <x:v>256</x:v>
      </x:c>
      <x:c r="C11" s="29" t="n">
        <x:v>4</x:v>
      </x:c>
      <x:c r="D11" s="29" t="n">
        <x:v>2</x:v>
      </x:c>
      <x:c r="E11" s="29" t="n">
        <x:v>1</x:v>
      </x:c>
      <x:c r="F11" s="29" t="n">
        <x:v>249</x:v>
      </x:c>
      <x:c r="G11" s="30" t="n">
        <x:f>C11/B11</x:f>
        <x:v>0.015625</x:v>
      </x:c>
      <x:c r="H11" s="30" t="n">
        <x:f>D11/B11</x:f>
        <x:v>0.0078125</x:v>
      </x:c>
      <x:c r="I11" s="30" t="n">
        <x:f>E11/B11</x:f>
        <x:v>0.00390625</x:v>
      </x:c>
      <x:c r="J11" s="30" t="n">
        <x:f>F11/B11</x:f>
        <x:v>0.97265625</x:v>
      </x:c>
      <x:c r="K11" s="30" t="n">
        <x:f>J11</x:f>
        <x:v>0.97265625</x:v>
      </x:c>
      <x:c r="L11" s="30" t="n">
        <x:f>0.5*(ABS(G11-0.0)+ABS(H11-0.0)+ABS(I11-0.0)+ABS(J11-1.0))</x:f>
        <x:v>0.02734375</x:v>
      </x:c>
    </x:row>
    <x:row r="12">
      <x:c r="A12" s="29" t="n">
        <x:v>9</x:v>
      </x:c>
      <x:c r="B12" s="29" t="n">
        <x:v>256</x:v>
      </x:c>
      <x:c r="C12" s="29" t="n">
        <x:v>6</x:v>
      </x:c>
      <x:c r="D12" s="29" t="n">
        <x:v>1</x:v>
      </x:c>
      <x:c r="E12" s="29" t="n">
        <x:v>2</x:v>
      </x:c>
      <x:c r="F12" s="29" t="n">
        <x:v>247</x:v>
      </x:c>
      <x:c r="G12" s="30" t="n">
        <x:f>C12/B12</x:f>
        <x:v>0.0234375</x:v>
      </x:c>
      <x:c r="H12" s="30" t="n">
        <x:f>D12/B12</x:f>
        <x:v>0.00390625</x:v>
      </x:c>
      <x:c r="I12" s="30" t="n">
        <x:f>E12/B12</x:f>
        <x:v>0.0078125</x:v>
      </x:c>
      <x:c r="J12" s="30" t="n">
        <x:f>F12/B12</x:f>
        <x:v>0.96484375</x:v>
      </x:c>
      <x:c r="K12" s="30" t="n">
        <x:f>J12</x:f>
        <x:v>0.96484375</x:v>
      </x:c>
      <x:c r="L12" s="30" t="n">
        <x:f>0.5*(ABS(G12-0.0)+ABS(H12-0.0)+ABS(I12-0.0)+ABS(J12-1.0))</x:f>
        <x:v>0.03515625</x:v>
      </x:c>
    </x:row>
    <x:row r="13">
      <x:c r="A13" s="29" t="n">
        <x:v>10</x:v>
      </x:c>
      <x:c r="B13" s="29" t="n">
        <x:v>256</x:v>
      </x:c>
      <x:c r="C13" s="29" t="n">
        <x:v>2</x:v>
      </x:c>
      <x:c r="D13" s="29" t="n">
        <x:v>2</x:v>
      </x:c>
      <x:c r="E13" s="29" t="n">
        <x:v>3</x:v>
      </x:c>
      <x:c r="F13" s="29" t="n">
        <x:v>249</x:v>
      </x:c>
      <x:c r="G13" s="30" t="n">
        <x:f>C13/B13</x:f>
        <x:v>0.0078125</x:v>
      </x:c>
      <x:c r="H13" s="30" t="n">
        <x:f>D13/B13</x:f>
        <x:v>0.0078125</x:v>
      </x:c>
      <x:c r="I13" s="30" t="n">
        <x:f>E13/B13</x:f>
        <x:v>0.01171875</x:v>
      </x:c>
      <x:c r="J13" s="30" t="n">
        <x:f>F13/B13</x:f>
        <x:v>0.97265625</x:v>
      </x:c>
      <x:c r="K13" s="30" t="n">
        <x:f>J13</x:f>
        <x:v>0.97265625</x:v>
      </x:c>
      <x:c r="L13" s="30" t="n">
        <x:f>0.5*(ABS(G13-0.0)+ABS(H13-0.0)+ABS(I13-0.0)+ABS(J13-1.0))</x:f>
        <x:v>0.02734375</x:v>
      </x:c>
    </x:row>
    <x:row r="14">
      <x:c r="A14" s="29" t="n">
        <x:v>11</x:v>
      </x:c>
      <x:c r="B14" s="29" t="n">
        <x:v>256</x:v>
      </x:c>
      <x:c r="C14" s="29" t="n">
        <x:v>6</x:v>
      </x:c>
      <x:c r="D14" s="29" t="n">
        <x:v>2</x:v>
      </x:c>
      <x:c r="E14" s="29" t="n">
        <x:v>5</x:v>
      </x:c>
      <x:c r="F14" s="29" t="n">
        <x:v>243</x:v>
      </x:c>
      <x:c r="G14" s="30" t="n">
        <x:f>C14/B14</x:f>
        <x:v>0.0234375</x:v>
      </x:c>
      <x:c r="H14" s="30" t="n">
        <x:f>D14/B14</x:f>
        <x:v>0.0078125</x:v>
      </x:c>
      <x:c r="I14" s="30" t="n">
        <x:f>E14/B14</x:f>
        <x:v>0.01953125</x:v>
      </x:c>
      <x:c r="J14" s="30" t="n">
        <x:f>F14/B14</x:f>
        <x:v>0.94921875</x:v>
      </x:c>
      <x:c r="K14" s="30" t="n">
        <x:f>J14</x:f>
        <x:v>0.94921875</x:v>
      </x:c>
      <x:c r="L14" s="30" t="n">
        <x:f>0.5*(ABS(G14-0.0)+ABS(H14-0.0)+ABS(I14-0.0)+ABS(J14-1.0))</x:f>
        <x:v>0.05078125</x:v>
      </x:c>
    </x:row>
    <x:row r="15">
      <x:c r="A15" s="29" t="n">
        <x:v>12</x:v>
      </x:c>
      <x:c r="B15" s="29" t="n">
        <x:v>256</x:v>
      </x:c>
      <x:c r="C15" s="29" t="n">
        <x:v>3</x:v>
      </x:c>
      <x:c r="D15" s="29" t="n">
        <x:v>3</x:v>
      </x:c>
      <x:c r="E15" s="29" t="n">
        <x:v>4</x:v>
      </x:c>
      <x:c r="F15" s="29" t="n">
        <x:v>246</x:v>
      </x:c>
      <x:c r="G15" s="30" t="n">
        <x:f>C15/B15</x:f>
        <x:v>0.01171875</x:v>
      </x:c>
      <x:c r="H15" s="30" t="n">
        <x:f>D15/B15</x:f>
        <x:v>0.01171875</x:v>
      </x:c>
      <x:c r="I15" s="30" t="n">
        <x:f>E15/B15</x:f>
        <x:v>0.015625</x:v>
      </x:c>
      <x:c r="J15" s="30" t="n">
        <x:f>F15/B15</x:f>
        <x:v>0.9609375</x:v>
      </x:c>
      <x:c r="K15" s="30" t="n">
        <x:f>J15</x:f>
        <x:v>0.9609375</x:v>
      </x:c>
      <x:c r="L15" s="30" t="n">
        <x:f>0.5*(ABS(G15-0.0)+ABS(H15-0.0)+ABS(I15-0.0)+ABS(J15-1.0))</x:f>
        <x:v>0.0390625</x:v>
      </x:c>
    </x:row>
    <x:row r="16">
      <x:c r="A16" s="29" t="n">
        <x:v>13</x:v>
      </x:c>
      <x:c r="B16" s="29" t="n">
        <x:v>256</x:v>
      </x:c>
      <x:c r="C16" s="29" t="n">
        <x:v>2</x:v>
      </x:c>
      <x:c r="D16" s="29" t="n">
        <x:v>2</x:v>
      </x:c>
      <x:c r="E16" s="29" t="n">
        <x:v>1</x:v>
      </x:c>
      <x:c r="F16" s="29" t="n">
        <x:v>251</x:v>
      </x:c>
      <x:c r="G16" s="30" t="n">
        <x:f>C16/B16</x:f>
        <x:v>0.0078125</x:v>
      </x:c>
      <x:c r="H16" s="30" t="n">
        <x:f>D16/B16</x:f>
        <x:v>0.0078125</x:v>
      </x:c>
      <x:c r="I16" s="30" t="n">
        <x:f>E16/B16</x:f>
        <x:v>0.00390625</x:v>
      </x:c>
      <x:c r="J16" s="30" t="n">
        <x:f>F16/B16</x:f>
        <x:v>0.98046875</x:v>
      </x:c>
      <x:c r="K16" s="30" t="n">
        <x:f>J16</x:f>
        <x:v>0.98046875</x:v>
      </x:c>
      <x:c r="L16" s="30" t="n">
        <x:f>0.5*(ABS(G16-0.0)+ABS(H16-0.0)+ABS(I16-0.0)+ABS(J16-1.0))</x:f>
        <x:v>0.01953125</x:v>
      </x:c>
    </x:row>
    <x:row r="17">
      <x:c r="A17" s="29" t="n">
        <x:v>14</x:v>
      </x:c>
      <x:c r="B17" s="29" t="n">
        <x:v>256</x:v>
      </x:c>
      <x:c r="C17" s="29" t="n">
        <x:v>3</x:v>
      </x:c>
      <x:c r="D17" s="29" t="n">
        <x:v>1</x:v>
      </x:c>
      <x:c r="E17" s="29" t="n">
        <x:v>1</x:v>
      </x:c>
      <x:c r="F17" s="29" t="n">
        <x:v>251</x:v>
      </x:c>
      <x:c r="G17" s="30" t="n">
        <x:f>C17/B17</x:f>
        <x:v>0.01171875</x:v>
      </x:c>
      <x:c r="H17" s="30" t="n">
        <x:f>D17/B17</x:f>
        <x:v>0.00390625</x:v>
      </x:c>
      <x:c r="I17" s="30" t="n">
        <x:f>E17/B17</x:f>
        <x:v>0.00390625</x:v>
      </x:c>
      <x:c r="J17" s="30" t="n">
        <x:f>F17/B17</x:f>
        <x:v>0.98046875</x:v>
      </x:c>
      <x:c r="K17" s="30" t="n">
        <x:f>J17</x:f>
        <x:v>0.98046875</x:v>
      </x:c>
      <x:c r="L17" s="30" t="n">
        <x:f>0.5*(ABS(G17-0.0)+ABS(H17-0.0)+ABS(I17-0.0)+ABS(J17-1.0))</x:f>
        <x:v>0.01953125</x:v>
      </x:c>
    </x:row>
    <x:row r="18">
      <x:c r="A18" s="29" t="n">
        <x:v>15</x:v>
      </x:c>
      <x:c r="B18" s="29" t="n">
        <x:v>256</x:v>
      </x:c>
      <x:c r="C18" s="29" t="n">
        <x:v>8</x:v>
      </x:c>
      <x:c r="D18" s="29" t="n">
        <x:v>2</x:v>
      </x:c>
      <x:c r="E18" s="29" t="n">
        <x:v>3</x:v>
      </x:c>
      <x:c r="F18" s="29" t="n">
        <x:v>243</x:v>
      </x:c>
      <x:c r="G18" s="30" t="n">
        <x:f>C18/B18</x:f>
        <x:v>0.03125</x:v>
      </x:c>
      <x:c r="H18" s="30" t="n">
        <x:f>D18/B18</x:f>
        <x:v>0.0078125</x:v>
      </x:c>
      <x:c r="I18" s="30" t="n">
        <x:f>E18/B18</x:f>
        <x:v>0.01171875</x:v>
      </x:c>
      <x:c r="J18" s="30" t="n">
        <x:f>F18/B18</x:f>
        <x:v>0.94921875</x:v>
      </x:c>
      <x:c r="K18" s="30" t="n">
        <x:f>J18</x:f>
        <x:v>0.94921875</x:v>
      </x:c>
      <x:c r="L18" s="30" t="n">
        <x:f>0.5*(ABS(G18-0.0)+ABS(H18-0.0)+ABS(I18-0.0)+ABS(J18-1.0))</x:f>
        <x:v>0.05078125</x:v>
      </x:c>
    </x:row>
    <x:row r="19">
      <x:c r="A19" s="29" t="n">
        <x:v>16</x:v>
      </x:c>
      <x:c r="B19" s="29" t="n">
        <x:v>256</x:v>
      </x:c>
      <x:c r="C19" s="29" t="n">
        <x:v>3</x:v>
      </x:c>
      <x:c r="D19" s="29" t="n">
        <x:v>3</x:v>
      </x:c>
      <x:c r="E19" s="29" t="n">
        <x:v>2</x:v>
      </x:c>
      <x:c r="F19" s="29" t="n">
        <x:v>248</x:v>
      </x:c>
      <x:c r="G19" s="30" t="n">
        <x:f>C19/B19</x:f>
        <x:v>0.01171875</x:v>
      </x:c>
      <x:c r="H19" s="30" t="n">
        <x:f>D19/B19</x:f>
        <x:v>0.01171875</x:v>
      </x:c>
      <x:c r="I19" s="30" t="n">
        <x:f>E19/B19</x:f>
        <x:v>0.0078125</x:v>
      </x:c>
      <x:c r="J19" s="30" t="n">
        <x:f>F19/B19</x:f>
        <x:v>0.96875</x:v>
      </x:c>
      <x:c r="K19" s="30" t="n">
        <x:f>J19</x:f>
        <x:v>0.96875</x:v>
      </x:c>
      <x:c r="L19" s="30" t="n">
        <x:f>0.5*(ABS(G19-0.0)+ABS(H19-0.0)+ABS(I19-0.0)+ABS(J19-1.0))</x:f>
        <x:v>0.03125</x:v>
      </x:c>
    </x:row>
    <x:row r="20">
      <x:c r="A20" s="29" t="n">
        <x:v>17</x:v>
      </x:c>
      <x:c r="B20" s="29" t="n">
        <x:v>256</x:v>
      </x:c>
      <x:c r="C20" s="29" t="n">
        <x:v>3</x:v>
      </x:c>
      <x:c r="D20" s="29" t="n">
        <x:v>1</x:v>
      </x:c>
      <x:c r="E20" s="29" t="n">
        <x:v>4</x:v>
      </x:c>
      <x:c r="F20" s="29" t="n">
        <x:v>248</x:v>
      </x:c>
      <x:c r="G20" s="30" t="n">
        <x:f>C20/B20</x:f>
        <x:v>0.01171875</x:v>
      </x:c>
      <x:c r="H20" s="30" t="n">
        <x:f>D20/B20</x:f>
        <x:v>0.00390625</x:v>
      </x:c>
      <x:c r="I20" s="30" t="n">
        <x:f>E20/B20</x:f>
        <x:v>0.015625</x:v>
      </x:c>
      <x:c r="J20" s="30" t="n">
        <x:f>F20/B20</x:f>
        <x:v>0.96875</x:v>
      </x:c>
      <x:c r="K20" s="30" t="n">
        <x:f>J20</x:f>
        <x:v>0.96875</x:v>
      </x:c>
      <x:c r="L20" s="30" t="n">
        <x:f>0.5*(ABS(G20-0.0)+ABS(H20-0.0)+ABS(I20-0.0)+ABS(J20-1.0))</x:f>
        <x:v>0.03125</x:v>
      </x:c>
    </x:row>
    <x:row r="21">
      <x:c r="A21" s="29" t="n">
        <x:v>18</x:v>
      </x:c>
      <x:c r="B21" s="29" t="n">
        <x:v>256</x:v>
      </x:c>
      <x:c r="C21" s="29" t="n">
        <x:v>4</x:v>
      </x:c>
      <x:c r="D21" s="29" t="n">
        <x:v>2</x:v>
      </x:c>
      <x:c r="E21" s="29" t="n">
        <x:v>4</x:v>
      </x:c>
      <x:c r="F21" s="29" t="n">
        <x:v>246</x:v>
      </x:c>
      <x:c r="G21" s="30" t="n">
        <x:f>C21/B21</x:f>
        <x:v>0.015625</x:v>
      </x:c>
      <x:c r="H21" s="30" t="n">
        <x:f>D21/B21</x:f>
        <x:v>0.0078125</x:v>
      </x:c>
      <x:c r="I21" s="30" t="n">
        <x:f>E21/B21</x:f>
        <x:v>0.015625</x:v>
      </x:c>
      <x:c r="J21" s="30" t="n">
        <x:f>F21/B21</x:f>
        <x:v>0.9609375</x:v>
      </x:c>
      <x:c r="K21" s="30" t="n">
        <x:f>J21</x:f>
        <x:v>0.9609375</x:v>
      </x:c>
      <x:c r="L21" s="30" t="n">
        <x:f>0.5*(ABS(G21-0.0)+ABS(H21-0.0)+ABS(I21-0.0)+ABS(J21-1.0))</x:f>
        <x:v>0.0390625</x:v>
      </x:c>
    </x:row>
    <x:row r="22">
      <x:c r="A22" s="29" t="n">
        <x:v>19</x:v>
      </x:c>
      <x:c r="B22" s="29" t="n">
        <x:v>256</x:v>
      </x:c>
      <x:c r="C22" s="29" t="n">
        <x:v>5</x:v>
      </x:c>
      <x:c r="D22" s="29" t="n">
        <x:v>0</x:v>
      </x:c>
      <x:c r="E22" s="29" t="n">
        <x:v>3</x:v>
      </x:c>
      <x:c r="F22" s="29" t="n">
        <x:v>248</x:v>
      </x:c>
      <x:c r="G22" s="30" t="n">
        <x:f>C22/B22</x:f>
        <x:v>0.01953125</x:v>
      </x:c>
      <x:c r="H22" s="30" t="n">
        <x:f>D22/B22</x:f>
        <x:v>0</x:v>
      </x:c>
      <x:c r="I22" s="30" t="n">
        <x:f>E22/B22</x:f>
        <x:v>0.01171875</x:v>
      </x:c>
      <x:c r="J22" s="30" t="n">
        <x:f>F22/B22</x:f>
        <x:v>0.96875</x:v>
      </x:c>
      <x:c r="K22" s="30" t="n">
        <x:f>J22</x:f>
        <x:v>0.96875</x:v>
      </x:c>
      <x:c r="L22" s="30" t="n">
        <x:f>0.5*(ABS(G22-0.0)+ABS(H22-0.0)+ABS(I22-0.0)+ABS(J22-1.0))</x:f>
        <x:v>0.03125</x:v>
      </x:c>
    </x:row>
    <x:row r="23">
      <x:c r="A23" s="29" t="n">
        <x:v>20</x:v>
      </x:c>
      <x:c r="B23" s="29" t="n">
        <x:v>256</x:v>
      </x:c>
      <x:c r="C23" s="29" t="n">
        <x:v>3</x:v>
      </x:c>
      <x:c r="D23" s="29" t="n">
        <x:v>2</x:v>
      </x:c>
      <x:c r="E23" s="29" t="n">
        <x:v>2</x:v>
      </x:c>
      <x:c r="F23" s="29" t="n">
        <x:v>249</x:v>
      </x:c>
      <x:c r="G23" s="30" t="n">
        <x:f>C23/B23</x:f>
        <x:v>0.01171875</x:v>
      </x:c>
      <x:c r="H23" s="30" t="n">
        <x:f>D23/B23</x:f>
        <x:v>0.0078125</x:v>
      </x:c>
      <x:c r="I23" s="30" t="n">
        <x:f>E23/B23</x:f>
        <x:v>0.0078125</x:v>
      </x:c>
      <x:c r="J23" s="30" t="n">
        <x:f>F23/B23</x:f>
        <x:v>0.97265625</x:v>
      </x:c>
      <x:c r="K23" s="30" t="n">
        <x:f>J23</x:f>
        <x:v>0.97265625</x:v>
      </x:c>
      <x:c r="L23" s="30" t="n">
        <x:f>0.5*(ABS(G23-0.0)+ABS(H23-0.0)+ABS(I23-0.0)+ABS(J23-1.0))</x:f>
        <x:v>0.02734375</x:v>
      </x:c>
    </x:row>
    <x:row r="24">
      <x:c r="A24" s="29" t="n">
        <x:v>21</x:v>
      </x:c>
      <x:c r="B24" s="29" t="n">
        <x:v>256</x:v>
      </x:c>
      <x:c r="C24" s="29" t="n">
        <x:v>3</x:v>
      </x:c>
      <x:c r="D24" s="29" t="n">
        <x:v>3</x:v>
      </x:c>
      <x:c r="E24" s="29" t="n">
        <x:v>2</x:v>
      </x:c>
      <x:c r="F24" s="29" t="n">
        <x:v>248</x:v>
      </x:c>
      <x:c r="G24" s="30" t="n">
        <x:f>C24/B24</x:f>
        <x:v>0.01171875</x:v>
      </x:c>
      <x:c r="H24" s="30" t="n">
        <x:f>D24/B24</x:f>
        <x:v>0.01171875</x:v>
      </x:c>
      <x:c r="I24" s="30" t="n">
        <x:f>E24/B24</x:f>
        <x:v>0.0078125</x:v>
      </x:c>
      <x:c r="J24" s="30" t="n">
        <x:f>F24/B24</x:f>
        <x:v>0.96875</x:v>
      </x:c>
      <x:c r="K24" s="30" t="n">
        <x:f>J24</x:f>
        <x:v>0.96875</x:v>
      </x:c>
      <x:c r="L24" s="30" t="n">
        <x:f>0.5*(ABS(G24-0.0)+ABS(H24-0.0)+ABS(I24-0.0)+ABS(J24-1.0))</x:f>
        <x:v>0.03125</x:v>
      </x:c>
    </x:row>
    <x:row r="25">
      <x:c r="A25" s="29" t="n">
        <x:v>22</x:v>
      </x:c>
      <x:c r="B25" s="29" t="n">
        <x:v>256</x:v>
      </x:c>
      <x:c r="C25" s="29" t="n">
        <x:v>8</x:v>
      </x:c>
      <x:c r="D25" s="29" t="n">
        <x:v>0</x:v>
      </x:c>
      <x:c r="E25" s="29" t="n">
        <x:v>3</x:v>
      </x:c>
      <x:c r="F25" s="29" t="n">
        <x:v>245</x:v>
      </x:c>
      <x:c r="G25" s="30" t="n">
        <x:f>C25/B25</x:f>
        <x:v>0.03125</x:v>
      </x:c>
      <x:c r="H25" s="30" t="n">
        <x:f>D25/B25</x:f>
        <x:v>0</x:v>
      </x:c>
      <x:c r="I25" s="30" t="n">
        <x:f>E25/B25</x:f>
        <x:v>0.01171875</x:v>
      </x:c>
      <x:c r="J25" s="30" t="n">
        <x:f>F25/B25</x:f>
        <x:v>0.95703125</x:v>
      </x:c>
      <x:c r="K25" s="30" t="n">
        <x:f>J25</x:f>
        <x:v>0.95703125</x:v>
      </x:c>
      <x:c r="L25" s="30" t="n">
        <x:f>0.5*(ABS(G25-0.0)+ABS(H25-0.0)+ABS(I25-0.0)+ABS(J25-1.0))</x:f>
        <x:v>0.04296875</x:v>
      </x:c>
    </x:row>
    <x:row r="26">
      <x:c r="A26" s="29" t="n">
        <x:v>23</x:v>
      </x:c>
      <x:c r="B26" s="29" t="n">
        <x:v>256</x:v>
      </x:c>
      <x:c r="C26" s="29" t="n">
        <x:v>7</x:v>
      </x:c>
      <x:c r="D26" s="29" t="n">
        <x:v>0</x:v>
      </x:c>
      <x:c r="E26" s="29" t="n">
        <x:v>3</x:v>
      </x:c>
      <x:c r="F26" s="29" t="n">
        <x:v>246</x:v>
      </x:c>
      <x:c r="G26" s="30" t="n">
        <x:f>C26/B26</x:f>
        <x:v>0.02734375</x:v>
      </x:c>
      <x:c r="H26" s="30" t="n">
        <x:f>D26/B26</x:f>
        <x:v>0</x:v>
      </x:c>
      <x:c r="I26" s="30" t="n">
        <x:f>E26/B26</x:f>
        <x:v>0.01171875</x:v>
      </x:c>
      <x:c r="J26" s="30" t="n">
        <x:f>F26/B26</x:f>
        <x:v>0.9609375</x:v>
      </x:c>
      <x:c r="K26" s="30" t="n">
        <x:f>J26</x:f>
        <x:v>0.9609375</x:v>
      </x:c>
      <x:c r="L26" s="30" t="n">
        <x:f>0.5*(ABS(G26-0.0)+ABS(H26-0.0)+ABS(I26-0.0)+ABS(J26-1.0))</x:f>
        <x:v>0.0390625</x:v>
      </x:c>
    </x:row>
    <x:row r="27">
      <x:c r="A27" s="29" t="n">
        <x:v>24</x:v>
      </x:c>
      <x:c r="B27" s="29" t="n">
        <x:v>256</x:v>
      </x:c>
      <x:c r="C27" s="29" t="n">
        <x:v>5</x:v>
      </x:c>
      <x:c r="D27" s="29" t="n">
        <x:v>0</x:v>
      </x:c>
      <x:c r="E27" s="29" t="n">
        <x:v>3</x:v>
      </x:c>
      <x:c r="F27" s="29" t="n">
        <x:v>248</x:v>
      </x:c>
      <x:c r="G27" s="30" t="n">
        <x:f>C27/B27</x:f>
        <x:v>0.01953125</x:v>
      </x:c>
      <x:c r="H27" s="30" t="n">
        <x:f>D27/B27</x:f>
        <x:v>0</x:v>
      </x:c>
      <x:c r="I27" s="30" t="n">
        <x:f>E27/B27</x:f>
        <x:v>0.01171875</x:v>
      </x:c>
      <x:c r="J27" s="30" t="n">
        <x:f>F27/B27</x:f>
        <x:v>0.96875</x:v>
      </x:c>
      <x:c r="K27" s="30" t="n">
        <x:f>J27</x:f>
        <x:v>0.96875</x:v>
      </x:c>
      <x:c r="L27" s="30" t="n">
        <x:f>0.5*(ABS(G27-0.0)+ABS(H27-0.0)+ABS(I27-0.0)+ABS(J27-1.0))</x:f>
        <x:v>0.03125</x:v>
      </x:c>
    </x:row>
    <x:row r="28">
      <x:c r="A28" s="29" t="n">
        <x:v>25</x:v>
      </x:c>
      <x:c r="B28" s="29" t="n">
        <x:v>256</x:v>
      </x:c>
      <x:c r="C28" s="29" t="n">
        <x:v>2</x:v>
      </x:c>
      <x:c r="D28" s="29" t="n">
        <x:v>1</x:v>
      </x:c>
      <x:c r="E28" s="29" t="n">
        <x:v>4</x:v>
      </x:c>
      <x:c r="F28" s="29" t="n">
        <x:v>249</x:v>
      </x:c>
      <x:c r="G28" s="30" t="n">
        <x:f>C28/B28</x:f>
        <x:v>0.0078125</x:v>
      </x:c>
      <x:c r="H28" s="30" t="n">
        <x:f>D28/B28</x:f>
        <x:v>0.00390625</x:v>
      </x:c>
      <x:c r="I28" s="30" t="n">
        <x:f>E28/B28</x:f>
        <x:v>0.015625</x:v>
      </x:c>
      <x:c r="J28" s="30" t="n">
        <x:f>F28/B28</x:f>
        <x:v>0.97265625</x:v>
      </x:c>
      <x:c r="K28" s="30" t="n">
        <x:f>J28</x:f>
        <x:v>0.97265625</x:v>
      </x:c>
      <x:c r="L28" s="30" t="n">
        <x:f>0.5*(ABS(G28-0.0)+ABS(H28-0.0)+ABS(I28-0.0)+ABS(J28-1.0))</x:f>
        <x:v>0.02734375</x:v>
      </x:c>
    </x:row>
    <x:row r="29">
      <x:c r="A29" s="29" t="n">
        <x:v>26</x:v>
      </x:c>
      <x:c r="B29" s="29" t="n">
        <x:v>256</x:v>
      </x:c>
      <x:c r="C29" s="29" t="n">
        <x:v>8</x:v>
      </x:c>
      <x:c r="D29" s="29" t="n">
        <x:v>2</x:v>
      </x:c>
      <x:c r="E29" s="29" t="n">
        <x:v>1</x:v>
      </x:c>
      <x:c r="F29" s="29" t="n">
        <x:v>245</x:v>
      </x:c>
      <x:c r="G29" s="30" t="n">
        <x:f>C29/B29</x:f>
        <x:v>0.03125</x:v>
      </x:c>
      <x:c r="H29" s="30" t="n">
        <x:f>D29/B29</x:f>
        <x:v>0.0078125</x:v>
      </x:c>
      <x:c r="I29" s="30" t="n">
        <x:f>E29/B29</x:f>
        <x:v>0.00390625</x:v>
      </x:c>
      <x:c r="J29" s="30" t="n">
        <x:f>F29/B29</x:f>
        <x:v>0.95703125</x:v>
      </x:c>
      <x:c r="K29" s="30" t="n">
        <x:f>J29</x:f>
        <x:v>0.95703125</x:v>
      </x:c>
      <x:c r="L29" s="30" t="n">
        <x:f>0.5*(ABS(G29-0.0)+ABS(H29-0.0)+ABS(I29-0.0)+ABS(J29-1.0))</x:f>
        <x:v>0.04296875</x:v>
      </x:c>
    </x:row>
    <x:row r="30">
      <x:c r="A30" s="29" t="n">
        <x:v>27</x:v>
      </x:c>
      <x:c r="B30" s="29" t="n">
        <x:v>256</x:v>
      </x:c>
      <x:c r="C30" s="29" t="n">
        <x:v>4</x:v>
      </x:c>
      <x:c r="D30" s="29" t="n">
        <x:v>1</x:v>
      </x:c>
      <x:c r="E30" s="29" t="n">
        <x:v>2</x:v>
      </x:c>
      <x:c r="F30" s="29" t="n">
        <x:v>249</x:v>
      </x:c>
      <x:c r="G30" s="30" t="n">
        <x:f>C30/B30</x:f>
        <x:v>0.015625</x:v>
      </x:c>
      <x:c r="H30" s="30" t="n">
        <x:f>D30/B30</x:f>
        <x:v>0.00390625</x:v>
      </x:c>
      <x:c r="I30" s="30" t="n">
        <x:f>E30/B30</x:f>
        <x:v>0.0078125</x:v>
      </x:c>
      <x:c r="J30" s="30" t="n">
        <x:f>F30/B30</x:f>
        <x:v>0.97265625</x:v>
      </x:c>
      <x:c r="K30" s="30" t="n">
        <x:f>J30</x:f>
        <x:v>0.97265625</x:v>
      </x:c>
      <x:c r="L30" s="30" t="n">
        <x:f>0.5*(ABS(G30-0.0)+ABS(H30-0.0)+ABS(I30-0.0)+ABS(J30-1.0))</x:f>
        <x:v>0.02734375</x:v>
      </x:c>
    </x:row>
    <x:row r="31">
      <x:c r="A31" s="29" t="n">
        <x:v>28</x:v>
      </x:c>
      <x:c r="B31" s="29" t="n">
        <x:v>256</x:v>
      </x:c>
      <x:c r="C31" s="29" t="n">
        <x:v>6</x:v>
      </x:c>
      <x:c r="D31" s="29" t="n">
        <x:v>3</x:v>
      </x:c>
      <x:c r="E31" s="29" t="n">
        <x:v>7</x:v>
      </x:c>
      <x:c r="F31" s="29" t="n">
        <x:v>240</x:v>
      </x:c>
      <x:c r="G31" s="30" t="n">
        <x:f>C31/B31</x:f>
        <x:v>0.0234375</x:v>
      </x:c>
      <x:c r="H31" s="30" t="n">
        <x:f>D31/B31</x:f>
        <x:v>0.01171875</x:v>
      </x:c>
      <x:c r="I31" s="30" t="n">
        <x:f>E31/B31</x:f>
        <x:v>0.02734375</x:v>
      </x:c>
      <x:c r="J31" s="30" t="n">
        <x:f>F31/B31</x:f>
        <x:v>0.9375</x:v>
      </x:c>
      <x:c r="K31" s="30" t="n">
        <x:f>J31</x:f>
        <x:v>0.9375</x:v>
      </x:c>
      <x:c r="L31" s="30" t="n">
        <x:f>0.5*(ABS(G31-0.0)+ABS(H31-0.0)+ABS(I31-0.0)+ABS(J31-1.0))</x:f>
        <x:v>0.0625</x:v>
      </x:c>
    </x:row>
    <x:row r="32">
      <x:c r="A32" s="29" t="n">
        <x:v>29</x:v>
      </x:c>
      <x:c r="B32" s="29" t="n">
        <x:v>256</x:v>
      </x:c>
      <x:c r="C32" s="29" t="n">
        <x:v>5</x:v>
      </x:c>
      <x:c r="D32" s="29" t="n">
        <x:v>3</x:v>
      </x:c>
      <x:c r="E32" s="29" t="n">
        <x:v>6</x:v>
      </x:c>
      <x:c r="F32" s="29" t="n">
        <x:v>242</x:v>
      </x:c>
      <x:c r="G32" s="30" t="n">
        <x:f>C32/B32</x:f>
        <x:v>0.01953125</x:v>
      </x:c>
      <x:c r="H32" s="30" t="n">
        <x:f>D32/B32</x:f>
        <x:v>0.01171875</x:v>
      </x:c>
      <x:c r="I32" s="30" t="n">
        <x:f>E32/B32</x:f>
        <x:v>0.0234375</x:v>
      </x:c>
      <x:c r="J32" s="30" t="n">
        <x:f>F32/B32</x:f>
        <x:v>0.9453125</x:v>
      </x:c>
      <x:c r="K32" s="30" t="n">
        <x:f>J32</x:f>
        <x:v>0.9453125</x:v>
      </x:c>
      <x:c r="L32" s="30" t="n">
        <x:f>0.5*(ABS(G32-0.0)+ABS(H32-0.0)+ABS(I32-0.0)+ABS(J32-1.0))</x:f>
        <x:v>0.0546875</x:v>
      </x:c>
    </x:row>
    <x:row r="33">
      <x:c r="A33" s="29" t="n">
        <x:v>30</x:v>
      </x:c>
      <x:c r="B33" s="29" t="n">
        <x:v>256</x:v>
      </x:c>
      <x:c r="C33" s="29" t="n">
        <x:v>2</x:v>
      </x:c>
      <x:c r="D33" s="29" t="n">
        <x:v>3</x:v>
      </x:c>
      <x:c r="E33" s="29" t="n">
        <x:v>5</x:v>
      </x:c>
      <x:c r="F33" s="29" t="n">
        <x:v>246</x:v>
      </x:c>
      <x:c r="G33" s="30" t="n">
        <x:f>C33/B33</x:f>
        <x:v>0.0078125</x:v>
      </x:c>
      <x:c r="H33" s="30" t="n">
        <x:f>D33/B33</x:f>
        <x:v>0.01171875</x:v>
      </x:c>
      <x:c r="I33" s="30" t="n">
        <x:f>E33/B33</x:f>
        <x:v>0.01953125</x:v>
      </x:c>
      <x:c r="J33" s="30" t="n">
        <x:f>F33/B33</x:f>
        <x:v>0.9609375</x:v>
      </x:c>
      <x:c r="K33" s="30" t="n">
        <x:f>J33</x:f>
        <x:v>0.9609375</x:v>
      </x:c>
      <x:c r="L33" s="30" t="n">
        <x:f>0.5*(ABS(G33-0.0)+ABS(H33-0.0)+ABS(I33-0.0)+ABS(J33-1.0))</x:f>
        <x:v>0.0390625</x:v>
      </x:c>
    </x:row>
    <x:row r="34">
      <x:c r="A34" s="29" t="n">
        <x:v>31</x:v>
      </x:c>
      <x:c r="B34" s="29" t="n">
        <x:v>256</x:v>
      </x:c>
      <x:c r="C34" s="29" t="n">
        <x:v>7</x:v>
      </x:c>
      <x:c r="D34" s="29" t="n">
        <x:v>3</x:v>
      </x:c>
      <x:c r="E34" s="29" t="n">
        <x:v>3</x:v>
      </x:c>
      <x:c r="F34" s="29" t="n">
        <x:v>243</x:v>
      </x:c>
      <x:c r="G34" s="30" t="n">
        <x:f>C34/B34</x:f>
        <x:v>0.02734375</x:v>
      </x:c>
      <x:c r="H34" s="30" t="n">
        <x:f>D34/B34</x:f>
        <x:v>0.01171875</x:v>
      </x:c>
      <x:c r="I34" s="30" t="n">
        <x:f>E34/B34</x:f>
        <x:v>0.01171875</x:v>
      </x:c>
      <x:c r="J34" s="30" t="n">
        <x:f>F34/B34</x:f>
        <x:v>0.94921875</x:v>
      </x:c>
      <x:c r="K34" s="30" t="n">
        <x:f>J34</x:f>
        <x:v>0.94921875</x:v>
      </x:c>
      <x:c r="L34" s="30" t="n">
        <x:f>0.5*(ABS(G34-0.0)+ABS(H34-0.0)+ABS(I34-0.0)+ABS(J34-1.0))</x:f>
        <x:v>0.05078125</x:v>
      </x:c>
    </x:row>
    <x:row r="35">
      <x:c r="A35" s="29" t="n">
        <x:v>32</x:v>
      </x:c>
      <x:c r="B35" s="29" t="n">
        <x:v>256</x:v>
      </x:c>
      <x:c r="C35" s="29" t="n">
        <x:v>2</x:v>
      </x:c>
      <x:c r="D35" s="29" t="n">
        <x:v>5</x:v>
      </x:c>
      <x:c r="E35" s="29" t="n">
        <x:v>1</x:v>
      </x:c>
      <x:c r="F35" s="29" t="n">
        <x:v>248</x:v>
      </x:c>
      <x:c r="G35" s="30" t="n">
        <x:f>C35/B35</x:f>
        <x:v>0.0078125</x:v>
      </x:c>
      <x:c r="H35" s="30" t="n">
        <x:f>D35/B35</x:f>
        <x:v>0.01953125</x:v>
      </x:c>
      <x:c r="I35" s="30" t="n">
        <x:f>E35/B35</x:f>
        <x:v>0.00390625</x:v>
      </x:c>
      <x:c r="J35" s="30" t="n">
        <x:f>F35/B35</x:f>
        <x:v>0.96875</x:v>
      </x:c>
      <x:c r="K35" s="30" t="n">
        <x:f>J35</x:f>
        <x:v>0.96875</x:v>
      </x:c>
      <x:c r="L35" s="30" t="n">
        <x:f>0.5*(ABS(G35-0.0)+ABS(H35-0.0)+ABS(I35-0.0)+ABS(J35-1.0))</x:f>
        <x:v>0.03125</x:v>
      </x:c>
    </x:row>
    <x:row r="36">
      <x:c r="A36" s="29" t="n">
        <x:v>33</x:v>
      </x:c>
      <x:c r="B36" s="29" t="n">
        <x:v>256</x:v>
      </x:c>
      <x:c r="C36" s="29" t="n">
        <x:v>4</x:v>
      </x:c>
      <x:c r="D36" s="29" t="n">
        <x:v>4</x:v>
      </x:c>
      <x:c r="E36" s="29" t="n">
        <x:v>3</x:v>
      </x:c>
      <x:c r="F36" s="29" t="n">
        <x:v>245</x:v>
      </x:c>
      <x:c r="G36" s="30" t="n">
        <x:f>C36/B36</x:f>
        <x:v>0.015625</x:v>
      </x:c>
      <x:c r="H36" s="30" t="n">
        <x:f>D36/B36</x:f>
        <x:v>0.015625</x:v>
      </x:c>
      <x:c r="I36" s="30" t="n">
        <x:f>E36/B36</x:f>
        <x:v>0.01171875</x:v>
      </x:c>
      <x:c r="J36" s="30" t="n">
        <x:f>F36/B36</x:f>
        <x:v>0.95703125</x:v>
      </x:c>
      <x:c r="K36" s="30" t="n">
        <x:f>J36</x:f>
        <x:v>0.95703125</x:v>
      </x:c>
      <x:c r="L36" s="30" t="n">
        <x:f>0.5*(ABS(G36-0.0)+ABS(H36-0.0)+ABS(I36-0.0)+ABS(J36-1.0))</x:f>
        <x:v>0.04296875</x:v>
      </x:c>
    </x:row>
    <x:row r="37">
      <x:c r="A37" s="29" t="n">
        <x:v>34</x:v>
      </x:c>
      <x:c r="B37" s="29" t="n">
        <x:v>256</x:v>
      </x:c>
      <x:c r="C37" s="29" t="n">
        <x:v>4</x:v>
      </x:c>
      <x:c r="D37" s="29" t="n">
        <x:v>1</x:v>
      </x:c>
      <x:c r="E37" s="29" t="n">
        <x:v>2</x:v>
      </x:c>
      <x:c r="F37" s="29" t="n">
        <x:v>249</x:v>
      </x:c>
      <x:c r="G37" s="30" t="n">
        <x:f>C37/B37</x:f>
        <x:v>0.015625</x:v>
      </x:c>
      <x:c r="H37" s="30" t="n">
        <x:f>D37/B37</x:f>
        <x:v>0.00390625</x:v>
      </x:c>
      <x:c r="I37" s="30" t="n">
        <x:f>E37/B37</x:f>
        <x:v>0.0078125</x:v>
      </x:c>
      <x:c r="J37" s="30" t="n">
        <x:f>F37/B37</x:f>
        <x:v>0.97265625</x:v>
      </x:c>
      <x:c r="K37" s="30" t="n">
        <x:f>J37</x:f>
        <x:v>0.97265625</x:v>
      </x:c>
      <x:c r="L37" s="30" t="n">
        <x:f>0.5*(ABS(G37-0.0)+ABS(H37-0.0)+ABS(I37-0.0)+ABS(J37-1.0))</x:f>
        <x:v>0.02734375</x:v>
      </x:c>
    </x:row>
    <x:row r="38">
      <x:c r="A38" s="29" t="n">
        <x:v>35</x:v>
      </x:c>
      <x:c r="B38" s="29" t="n">
        <x:v>256</x:v>
      </x:c>
      <x:c r="C38" s="29" t="n">
        <x:v>1</x:v>
      </x:c>
      <x:c r="D38" s="29" t="n">
        <x:v>3</x:v>
      </x:c>
      <x:c r="E38" s="29" t="n">
        <x:v>2</x:v>
      </x:c>
      <x:c r="F38" s="29" t="n">
        <x:v>250</x:v>
      </x:c>
      <x:c r="G38" s="30" t="n">
        <x:f>C38/B38</x:f>
        <x:v>0.00390625</x:v>
      </x:c>
      <x:c r="H38" s="30" t="n">
        <x:f>D38/B38</x:f>
        <x:v>0.01171875</x:v>
      </x:c>
      <x:c r="I38" s="30" t="n">
        <x:f>E38/B38</x:f>
        <x:v>0.0078125</x:v>
      </x:c>
      <x:c r="J38" s="30" t="n">
        <x:f>F38/B38</x:f>
        <x:v>0.9765625</x:v>
      </x:c>
      <x:c r="K38" s="30" t="n">
        <x:f>J38</x:f>
        <x:v>0.9765625</x:v>
      </x:c>
      <x:c r="L38" s="30" t="n">
        <x:f>0.5*(ABS(G38-0.0)+ABS(H38-0.0)+ABS(I38-0.0)+ABS(J38-1.0))</x:f>
        <x:v>0.0234375</x:v>
      </x:c>
    </x:row>
    <x:row r="39">
      <x:c r="A39" s="29" t="n">
        <x:v>36</x:v>
      </x:c>
      <x:c r="B39" s="29" t="n">
        <x:v>256</x:v>
      </x:c>
      <x:c r="C39" s="29" t="n">
        <x:v>6</x:v>
      </x:c>
      <x:c r="D39" s="29" t="n">
        <x:v>1</x:v>
      </x:c>
      <x:c r="E39" s="29" t="n">
        <x:v>4</x:v>
      </x:c>
      <x:c r="F39" s="29" t="n">
        <x:v>245</x:v>
      </x:c>
      <x:c r="G39" s="30" t="n">
        <x:f>C39/B39</x:f>
        <x:v>0.0234375</x:v>
      </x:c>
      <x:c r="H39" s="30" t="n">
        <x:f>D39/B39</x:f>
        <x:v>0.00390625</x:v>
      </x:c>
      <x:c r="I39" s="30" t="n">
        <x:f>E39/B39</x:f>
        <x:v>0.015625</x:v>
      </x:c>
      <x:c r="J39" s="30" t="n">
        <x:f>F39/B39</x:f>
        <x:v>0.95703125</x:v>
      </x:c>
      <x:c r="K39" s="30" t="n">
        <x:f>J39</x:f>
        <x:v>0.95703125</x:v>
      </x:c>
      <x:c r="L39" s="30" t="n">
        <x:f>0.5*(ABS(G39-0.0)+ABS(H39-0.0)+ABS(I39-0.0)+ABS(J39-1.0))</x:f>
        <x:v>0.04296875</x:v>
      </x:c>
    </x:row>
    <x:row r="40">
      <x:c r="A40" s="29" t="n">
        <x:v>37</x:v>
      </x:c>
      <x:c r="B40" s="29" t="n">
        <x:v>256</x:v>
      </x:c>
      <x:c r="C40" s="29" t="n">
        <x:v>5</x:v>
      </x:c>
      <x:c r="D40" s="29" t="n">
        <x:v>2</x:v>
      </x:c>
      <x:c r="E40" s="29" t="n">
        <x:v>2</x:v>
      </x:c>
      <x:c r="F40" s="29" t="n">
        <x:v>247</x:v>
      </x:c>
      <x:c r="G40" s="30" t="n">
        <x:f>C40/B40</x:f>
        <x:v>0.01953125</x:v>
      </x:c>
      <x:c r="H40" s="30" t="n">
        <x:f>D40/B40</x:f>
        <x:v>0.0078125</x:v>
      </x:c>
      <x:c r="I40" s="30" t="n">
        <x:f>E40/B40</x:f>
        <x:v>0.0078125</x:v>
      </x:c>
      <x:c r="J40" s="30" t="n">
        <x:f>F40/B40</x:f>
        <x:v>0.96484375</x:v>
      </x:c>
      <x:c r="K40" s="30" t="n">
        <x:f>J40</x:f>
        <x:v>0.96484375</x:v>
      </x:c>
      <x:c r="L40" s="30" t="n">
        <x:f>0.5*(ABS(G40-0.0)+ABS(H40-0.0)+ABS(I40-0.0)+ABS(J40-1.0))</x:f>
        <x:v>0.03515625</x:v>
      </x:c>
    </x:row>
    <x:row r="41">
      <x:c r="A41" s="29" t="n">
        <x:v>38</x:v>
      </x:c>
      <x:c r="B41" s="29" t="n">
        <x:v>256</x:v>
      </x:c>
      <x:c r="C41" s="29" t="n">
        <x:v>2</x:v>
      </x:c>
      <x:c r="D41" s="29" t="n">
        <x:v>3</x:v>
      </x:c>
      <x:c r="E41" s="29" t="n">
        <x:v>1</x:v>
      </x:c>
      <x:c r="F41" s="29" t="n">
        <x:v>250</x:v>
      </x:c>
      <x:c r="G41" s="30" t="n">
        <x:f>C41/B41</x:f>
        <x:v>0.0078125</x:v>
      </x:c>
      <x:c r="H41" s="30" t="n">
        <x:f>D41/B41</x:f>
        <x:v>0.01171875</x:v>
      </x:c>
      <x:c r="I41" s="30" t="n">
        <x:f>E41/B41</x:f>
        <x:v>0.00390625</x:v>
      </x:c>
      <x:c r="J41" s="30" t="n">
        <x:f>F41/B41</x:f>
        <x:v>0.9765625</x:v>
      </x:c>
      <x:c r="K41" s="30" t="n">
        <x:f>J41</x:f>
        <x:v>0.9765625</x:v>
      </x:c>
      <x:c r="L41" s="30" t="n">
        <x:f>0.5*(ABS(G41-0.0)+ABS(H41-0.0)+ABS(I41-0.0)+ABS(J41-1.0))</x:f>
        <x:v>0.0234375</x:v>
      </x:c>
    </x:row>
    <x:row r="42">
      <x:c r="A42" s="29" t="n">
        <x:v>39</x:v>
      </x:c>
      <x:c r="B42" s="29" t="n">
        <x:v>256</x:v>
      </x:c>
      <x:c r="C42" s="29" t="n">
        <x:v>0</x:v>
      </x:c>
      <x:c r="D42" s="29" t="n">
        <x:v>1</x:v>
      </x:c>
      <x:c r="E42" s="29" t="n">
        <x:v>5</x:v>
      </x:c>
      <x:c r="F42" s="29" t="n">
        <x:v>250</x:v>
      </x:c>
      <x:c r="G42" s="30" t="n">
        <x:f>C42/B42</x:f>
        <x:v>0</x:v>
      </x:c>
      <x:c r="H42" s="30" t="n">
        <x:f>D42/B42</x:f>
        <x:v>0.00390625</x:v>
      </x:c>
      <x:c r="I42" s="30" t="n">
        <x:f>E42/B42</x:f>
        <x:v>0.01953125</x:v>
      </x:c>
      <x:c r="J42" s="30" t="n">
        <x:f>F42/B42</x:f>
        <x:v>0.9765625</x:v>
      </x:c>
      <x:c r="K42" s="30" t="n">
        <x:f>J42</x:f>
        <x:v>0.9765625</x:v>
      </x:c>
      <x:c r="L42" s="30" t="n">
        <x:f>0.5*(ABS(G42-0.0)+ABS(H42-0.0)+ABS(I42-0.0)+ABS(J42-1.0))</x:f>
        <x:v>0.0234375</x:v>
      </x:c>
    </x:row>
    <x:row r="43">
      <x:c r="A43" s="29" t="n">
        <x:v>40</x:v>
      </x:c>
      <x:c r="B43" s="29" t="n">
        <x:v>256</x:v>
      </x:c>
      <x:c r="C43" s="29" t="n">
        <x:v>7</x:v>
      </x:c>
      <x:c r="D43" s="29" t="n">
        <x:v>2</x:v>
      </x:c>
      <x:c r="E43" s="29" t="n">
        <x:v>1</x:v>
      </x:c>
      <x:c r="F43" s="29" t="n">
        <x:v>246</x:v>
      </x:c>
      <x:c r="G43" s="30" t="n">
        <x:f>C43/B43</x:f>
        <x:v>0.02734375</x:v>
      </x:c>
      <x:c r="H43" s="30" t="n">
        <x:f>D43/B43</x:f>
        <x:v>0.0078125</x:v>
      </x:c>
      <x:c r="I43" s="30" t="n">
        <x:f>E43/B43</x:f>
        <x:v>0.00390625</x:v>
      </x:c>
      <x:c r="J43" s="30" t="n">
        <x:f>F43/B43</x:f>
        <x:v>0.9609375</x:v>
      </x:c>
      <x:c r="K43" s="30" t="n">
        <x:f>J43</x:f>
        <x:v>0.9609375</x:v>
      </x:c>
      <x:c r="L43" s="30" t="n">
        <x:f>0.5*(ABS(G43-0.0)+ABS(H43-0.0)+ABS(I43-0.0)+ABS(J43-1.0))</x:f>
        <x:v>0.0390625</x:v>
      </x:c>
    </x:row>
    <x:row r="44">
      <x:c r="A44" s="29" t="n">
        <x:v>41</x:v>
      </x:c>
      <x:c r="B44" s="29" t="n">
        <x:v>256</x:v>
      </x:c>
      <x:c r="C44" s="29" t="n">
        <x:v>3</x:v>
      </x:c>
      <x:c r="D44" s="29" t="n">
        <x:v>2</x:v>
      </x:c>
      <x:c r="E44" s="29" t="n">
        <x:v>3</x:v>
      </x:c>
      <x:c r="F44" s="29" t="n">
        <x:v>248</x:v>
      </x:c>
      <x:c r="G44" s="30" t="n">
        <x:f>C44/B44</x:f>
        <x:v>0.01171875</x:v>
      </x:c>
      <x:c r="H44" s="30" t="n">
        <x:f>D44/B44</x:f>
        <x:v>0.0078125</x:v>
      </x:c>
      <x:c r="I44" s="30" t="n">
        <x:f>E44/B44</x:f>
        <x:v>0.01171875</x:v>
      </x:c>
      <x:c r="J44" s="30" t="n">
        <x:f>F44/B44</x:f>
        <x:v>0.96875</x:v>
      </x:c>
      <x:c r="K44" s="30" t="n">
        <x:f>J44</x:f>
        <x:v>0.96875</x:v>
      </x:c>
      <x:c r="L44" s="30" t="n">
        <x:f>0.5*(ABS(G44-0.0)+ABS(H44-0.0)+ABS(I44-0.0)+ABS(J44-1.0))</x:f>
        <x:v>0.03125</x:v>
      </x:c>
    </x:row>
    <x:row r="45">
      <x:c r="A45" s="29" t="n">
        <x:v>42</x:v>
      </x:c>
      <x:c r="B45" s="29" t="n">
        <x:v>256</x:v>
      </x:c>
      <x:c r="C45" s="29" t="n">
        <x:v>4</x:v>
      </x:c>
      <x:c r="D45" s="29" t="n">
        <x:v>1</x:v>
      </x:c>
      <x:c r="E45" s="29" t="n">
        <x:v>7</x:v>
      </x:c>
      <x:c r="F45" s="29" t="n">
        <x:v>244</x:v>
      </x:c>
      <x:c r="G45" s="30" t="n">
        <x:f>C45/B45</x:f>
        <x:v>0.015625</x:v>
      </x:c>
      <x:c r="H45" s="30" t="n">
        <x:f>D45/B45</x:f>
        <x:v>0.00390625</x:v>
      </x:c>
      <x:c r="I45" s="30" t="n">
        <x:f>E45/B45</x:f>
        <x:v>0.02734375</x:v>
      </x:c>
      <x:c r="J45" s="30" t="n">
        <x:f>F45/B45</x:f>
        <x:v>0.953125</x:v>
      </x:c>
      <x:c r="K45" s="30" t="n">
        <x:f>J45</x:f>
        <x:v>0.953125</x:v>
      </x:c>
      <x:c r="L45" s="30" t="n">
        <x:f>0.5*(ABS(G45-0.0)+ABS(H45-0.0)+ABS(I45-0.0)+ABS(J45-1.0))</x:f>
        <x:v>0.046875</x:v>
      </x:c>
    </x:row>
    <x:row r="46">
      <x:c r="A46" s="29" t="n">
        <x:v>43</x:v>
      </x:c>
      <x:c r="B46" s="29" t="n">
        <x:v>256</x:v>
      </x:c>
      <x:c r="C46" s="29" t="n">
        <x:v>1</x:v>
      </x:c>
      <x:c r="D46" s="29" t="n">
        <x:v>1</x:v>
      </x:c>
      <x:c r="E46" s="29" t="n">
        <x:v>2</x:v>
      </x:c>
      <x:c r="F46" s="29" t="n">
        <x:v>252</x:v>
      </x:c>
      <x:c r="G46" s="30" t="n">
        <x:f>C46/B46</x:f>
        <x:v>0.00390625</x:v>
      </x:c>
      <x:c r="H46" s="30" t="n">
        <x:f>D46/B46</x:f>
        <x:v>0.00390625</x:v>
      </x:c>
      <x:c r="I46" s="30" t="n">
        <x:f>E46/B46</x:f>
        <x:v>0.0078125</x:v>
      </x:c>
      <x:c r="J46" s="30" t="n">
        <x:f>F46/B46</x:f>
        <x:v>0.984375</x:v>
      </x:c>
      <x:c r="K46" s="30" t="n">
        <x:f>J46</x:f>
        <x:v>0.984375</x:v>
      </x:c>
      <x:c r="L46" s="30" t="n">
        <x:f>0.5*(ABS(G46-0.0)+ABS(H46-0.0)+ABS(I46-0.0)+ABS(J46-1.0))</x:f>
        <x:v>0.015625</x:v>
      </x:c>
    </x:row>
    <x:row r="47">
      <x:c r="A47" s="29" t="n">
        <x:v>44</x:v>
      </x:c>
      <x:c r="B47" s="29" t="n">
        <x:v>256</x:v>
      </x:c>
      <x:c r="C47" s="29" t="n">
        <x:v>4</x:v>
      </x:c>
      <x:c r="D47" s="29" t="n">
        <x:v>2</x:v>
      </x:c>
      <x:c r="E47" s="29" t="n">
        <x:v>1</x:v>
      </x:c>
      <x:c r="F47" s="29" t="n">
        <x:v>249</x:v>
      </x:c>
      <x:c r="G47" s="30" t="n">
        <x:f>C47/B47</x:f>
        <x:v>0.015625</x:v>
      </x:c>
      <x:c r="H47" s="30" t="n">
        <x:f>D47/B47</x:f>
        <x:v>0.0078125</x:v>
      </x:c>
      <x:c r="I47" s="30" t="n">
        <x:f>E47/B47</x:f>
        <x:v>0.00390625</x:v>
      </x:c>
      <x:c r="J47" s="30" t="n">
        <x:f>F47/B47</x:f>
        <x:v>0.97265625</x:v>
      </x:c>
      <x:c r="K47" s="30" t="n">
        <x:f>J47</x:f>
        <x:v>0.97265625</x:v>
      </x:c>
      <x:c r="L47" s="30" t="n">
        <x:f>0.5*(ABS(G47-0.0)+ABS(H47-0.0)+ABS(I47-0.0)+ABS(J47-1.0))</x:f>
        <x:v>0.02734375</x:v>
      </x:c>
    </x:row>
    <x:row r="48">
      <x:c r="A48" s="29" t="n">
        <x:v>45</x:v>
      </x:c>
      <x:c r="B48" s="29" t="n">
        <x:v>256</x:v>
      </x:c>
      <x:c r="C48" s="29" t="n">
        <x:v>4</x:v>
      </x:c>
      <x:c r="D48" s="29" t="n">
        <x:v>0</x:v>
      </x:c>
      <x:c r="E48" s="29" t="n">
        <x:v>1</x:v>
      </x:c>
      <x:c r="F48" s="29" t="n">
        <x:v>251</x:v>
      </x:c>
      <x:c r="G48" s="30" t="n">
        <x:f>C48/B48</x:f>
        <x:v>0.015625</x:v>
      </x:c>
      <x:c r="H48" s="30" t="n">
        <x:f>D48/B48</x:f>
        <x:v>0</x:v>
      </x:c>
      <x:c r="I48" s="30" t="n">
        <x:f>E48/B48</x:f>
        <x:v>0.00390625</x:v>
      </x:c>
      <x:c r="J48" s="30" t="n">
        <x:f>F48/B48</x:f>
        <x:v>0.98046875</x:v>
      </x:c>
      <x:c r="K48" s="30" t="n">
        <x:f>J48</x:f>
        <x:v>0.98046875</x:v>
      </x:c>
      <x:c r="L48" s="30" t="n">
        <x:f>0.5*(ABS(G48-0.0)+ABS(H48-0.0)+ABS(I48-0.0)+ABS(J48-1.0))</x:f>
        <x:v>0.01953125</x:v>
      </x:c>
    </x:row>
    <x:row r="49">
      <x:c r="A49" s="29" t="n">
        <x:v>46</x:v>
      </x:c>
      <x:c r="B49" s="29" t="n">
        <x:v>256</x:v>
      </x:c>
      <x:c r="C49" s="29" t="n">
        <x:v>3</x:v>
      </x:c>
      <x:c r="D49" s="29" t="n">
        <x:v>3</x:v>
      </x:c>
      <x:c r="E49" s="29" t="n">
        <x:v>2</x:v>
      </x:c>
      <x:c r="F49" s="29" t="n">
        <x:v>248</x:v>
      </x:c>
      <x:c r="G49" s="30" t="n">
        <x:f>C49/B49</x:f>
        <x:v>0.01171875</x:v>
      </x:c>
      <x:c r="H49" s="30" t="n">
        <x:f>D49/B49</x:f>
        <x:v>0.01171875</x:v>
      </x:c>
      <x:c r="I49" s="30" t="n">
        <x:f>E49/B49</x:f>
        <x:v>0.0078125</x:v>
      </x:c>
      <x:c r="J49" s="30" t="n">
        <x:f>F49/B49</x:f>
        <x:v>0.96875</x:v>
      </x:c>
      <x:c r="K49" s="30" t="n">
        <x:f>J49</x:f>
        <x:v>0.96875</x:v>
      </x:c>
      <x:c r="L49" s="30" t="n">
        <x:f>0.5*(ABS(G49-0.0)+ABS(H49-0.0)+ABS(I49-0.0)+ABS(J49-1.0))</x:f>
        <x:v>0.03125</x:v>
      </x:c>
    </x:row>
    <x:row r="50">
      <x:c r="A50" s="29" t="n">
        <x:v>47</x:v>
      </x:c>
      <x:c r="B50" s="29" t="n">
        <x:v>256</x:v>
      </x:c>
      <x:c r="C50" s="29" t="n">
        <x:v>5</x:v>
      </x:c>
      <x:c r="D50" s="29" t="n">
        <x:v>2</x:v>
      </x:c>
      <x:c r="E50" s="29" t="n">
        <x:v>3</x:v>
      </x:c>
      <x:c r="F50" s="29" t="n">
        <x:v>246</x:v>
      </x:c>
      <x:c r="G50" s="30" t="n">
        <x:f>C50/B50</x:f>
        <x:v>0.01953125</x:v>
      </x:c>
      <x:c r="H50" s="30" t="n">
        <x:f>D50/B50</x:f>
        <x:v>0.0078125</x:v>
      </x:c>
      <x:c r="I50" s="30" t="n">
        <x:f>E50/B50</x:f>
        <x:v>0.01171875</x:v>
      </x:c>
      <x:c r="J50" s="30" t="n">
        <x:f>F50/B50</x:f>
        <x:v>0.9609375</x:v>
      </x:c>
      <x:c r="K50" s="30" t="n">
        <x:f>J50</x:f>
        <x:v>0.9609375</x:v>
      </x:c>
      <x:c r="L50" s="30" t="n">
        <x:f>0.5*(ABS(G50-0.0)+ABS(H50-0.0)+ABS(I50-0.0)+ABS(J50-1.0))</x:f>
        <x:v>0.0390625</x:v>
      </x:c>
    </x:row>
    <x:row r="51">
      <x:c r="A51" s="29" t="n">
        <x:v>48</x:v>
      </x:c>
      <x:c r="B51" s="29" t="n">
        <x:v>256</x:v>
      </x:c>
      <x:c r="C51" s="29" t="n">
        <x:v>8</x:v>
      </x:c>
      <x:c r="D51" s="29" t="n">
        <x:v>0</x:v>
      </x:c>
      <x:c r="E51" s="29" t="n">
        <x:v>3</x:v>
      </x:c>
      <x:c r="F51" s="29" t="n">
        <x:v>245</x:v>
      </x:c>
      <x:c r="G51" s="30" t="n">
        <x:f>C51/B51</x:f>
        <x:v>0.03125</x:v>
      </x:c>
      <x:c r="H51" s="30" t="n">
        <x:f>D51/B51</x:f>
        <x:v>0</x:v>
      </x:c>
      <x:c r="I51" s="30" t="n">
        <x:f>E51/B51</x:f>
        <x:v>0.01171875</x:v>
      </x:c>
      <x:c r="J51" s="30" t="n">
        <x:f>F51/B51</x:f>
        <x:v>0.95703125</x:v>
      </x:c>
      <x:c r="K51" s="30" t="n">
        <x:f>J51</x:f>
        <x:v>0.95703125</x:v>
      </x:c>
      <x:c r="L51" s="30" t="n">
        <x:f>0.5*(ABS(G51-0.0)+ABS(H51-0.0)+ABS(I51-0.0)+ABS(J51-1.0))</x:f>
        <x:v>0.04296875</x:v>
      </x:c>
    </x:row>
    <x:row r="52">
      <x:c r="A52" s="29" t="n">
        <x:v>49</x:v>
      </x:c>
      <x:c r="B52" s="29" t="n">
        <x:v>256</x:v>
      </x:c>
      <x:c r="C52" s="29" t="n">
        <x:v>2</x:v>
      </x:c>
      <x:c r="D52" s="29" t="n">
        <x:v>1</x:v>
      </x:c>
      <x:c r="E52" s="29" t="n">
        <x:v>2</x:v>
      </x:c>
      <x:c r="F52" s="29" t="n">
        <x:v>251</x:v>
      </x:c>
      <x:c r="G52" s="30" t="n">
        <x:f>C52/B52</x:f>
        <x:v>0.0078125</x:v>
      </x:c>
      <x:c r="H52" s="30" t="n">
        <x:f>D52/B52</x:f>
        <x:v>0.00390625</x:v>
      </x:c>
      <x:c r="I52" s="30" t="n">
        <x:f>E52/B52</x:f>
        <x:v>0.0078125</x:v>
      </x:c>
      <x:c r="J52" s="30" t="n">
        <x:f>F52/B52</x:f>
        <x:v>0.98046875</x:v>
      </x:c>
      <x:c r="K52" s="30" t="n">
        <x:f>J52</x:f>
        <x:v>0.98046875</x:v>
      </x:c>
      <x:c r="L52" s="30" t="n">
        <x:f>0.5*(ABS(G52-0.0)+ABS(H52-0.0)+ABS(I52-0.0)+ABS(J52-1.0))</x:f>
        <x:v>0.01953125</x:v>
      </x:c>
    </x:row>
    <x:row r="53">
      <x:c r="A53" s="29" t="n">
        <x:v>50</x:v>
      </x:c>
      <x:c r="B53" s="29" t="n">
        <x:v>256</x:v>
      </x:c>
      <x:c r="C53" s="29" t="n">
        <x:v>5</x:v>
      </x:c>
      <x:c r="D53" s="29" t="n">
        <x:v>3</x:v>
      </x:c>
      <x:c r="E53" s="29" t="n">
        <x:v>1</x:v>
      </x:c>
      <x:c r="F53" s="29" t="n">
        <x:v>247</x:v>
      </x:c>
      <x:c r="G53" s="30" t="n">
        <x:f>C53/B53</x:f>
        <x:v>0.01953125</x:v>
      </x:c>
      <x:c r="H53" s="30" t="n">
        <x:f>D53/B53</x:f>
        <x:v>0.01171875</x:v>
      </x:c>
      <x:c r="I53" s="30" t="n">
        <x:f>E53/B53</x:f>
        <x:v>0.00390625</x:v>
      </x:c>
      <x:c r="J53" s="30" t="n">
        <x:f>F53/B53</x:f>
        <x:v>0.96484375</x:v>
      </x:c>
      <x:c r="K53" s="30" t="n">
        <x:f>J53</x:f>
        <x:v>0.96484375</x:v>
      </x:c>
      <x:c r="L53" s="30" t="n">
        <x:f>0.5*(ABS(G53-0.0)+ABS(H53-0.0)+ABS(I53-0.0)+ABS(J53-1.0))</x:f>
        <x:v>0.03515625</x:v>
      </x:c>
    </x:row>
    <x:row r="54">
      <x:c r="A54" s="29" t="n">
        <x:v>51</x:v>
      </x:c>
      <x:c r="B54" s="29" t="n">
        <x:v>256</x:v>
      </x:c>
      <x:c r="C54" s="29" t="n">
        <x:v>5</x:v>
      </x:c>
      <x:c r="D54" s="29" t="n">
        <x:v>1</x:v>
      </x:c>
      <x:c r="E54" s="29" t="n">
        <x:v>2</x:v>
      </x:c>
      <x:c r="F54" s="29" t="n">
        <x:v>248</x:v>
      </x:c>
      <x:c r="G54" s="30" t="n">
        <x:f>C54/B54</x:f>
        <x:v>0.01953125</x:v>
      </x:c>
      <x:c r="H54" s="30" t="n">
        <x:f>D54/B54</x:f>
        <x:v>0.00390625</x:v>
      </x:c>
      <x:c r="I54" s="30" t="n">
        <x:f>E54/B54</x:f>
        <x:v>0.0078125</x:v>
      </x:c>
      <x:c r="J54" s="30" t="n">
        <x:f>F54/B54</x:f>
        <x:v>0.96875</x:v>
      </x:c>
      <x:c r="K54" s="30" t="n">
        <x:f>J54</x:f>
        <x:v>0.96875</x:v>
      </x:c>
      <x:c r="L54" s="30" t="n">
        <x:f>0.5*(ABS(G54-0.0)+ABS(H54-0.0)+ABS(I54-0.0)+ABS(J54-1.0))</x:f>
        <x:v>0.03125</x:v>
      </x:c>
    </x:row>
    <x:row r="55">
      <x:c r="A55" s="29" t="n">
        <x:v>52</x:v>
      </x:c>
      <x:c r="B55" s="29" t="n">
        <x:v>256</x:v>
      </x:c>
      <x:c r="C55" s="29" t="n">
        <x:v>1</x:v>
      </x:c>
      <x:c r="D55" s="29" t="n">
        <x:v>1</x:v>
      </x:c>
      <x:c r="E55" s="29" t="n">
        <x:v>2</x:v>
      </x:c>
      <x:c r="F55" s="29" t="n">
        <x:v>252</x:v>
      </x:c>
      <x:c r="G55" s="30" t="n">
        <x:f>C55/B55</x:f>
        <x:v>0.00390625</x:v>
      </x:c>
      <x:c r="H55" s="30" t="n">
        <x:f>D55/B55</x:f>
        <x:v>0.00390625</x:v>
      </x:c>
      <x:c r="I55" s="30" t="n">
        <x:f>E55/B55</x:f>
        <x:v>0.0078125</x:v>
      </x:c>
      <x:c r="J55" s="30" t="n">
        <x:f>F55/B55</x:f>
        <x:v>0.984375</x:v>
      </x:c>
      <x:c r="K55" s="30" t="n">
        <x:f>J55</x:f>
        <x:v>0.984375</x:v>
      </x:c>
      <x:c r="L55" s="30" t="n">
        <x:f>0.5*(ABS(G55-0.0)+ABS(H55-0.0)+ABS(I55-0.0)+ABS(J55-1.0))</x:f>
        <x:v>0.015625</x:v>
      </x:c>
    </x:row>
    <x:row r="56">
      <x:c r="A56" s="29" t="n">
        <x:v>53</x:v>
      </x:c>
      <x:c r="B56" s="29" t="n">
        <x:v>256</x:v>
      </x:c>
      <x:c r="C56" s="29" t="n">
        <x:v>6</x:v>
      </x:c>
      <x:c r="D56" s="29" t="n">
        <x:v>3</x:v>
      </x:c>
      <x:c r="E56" s="29" t="n">
        <x:v>1</x:v>
      </x:c>
      <x:c r="F56" s="29" t="n">
        <x:v>246</x:v>
      </x:c>
      <x:c r="G56" s="30" t="n">
        <x:f>C56/B56</x:f>
        <x:v>0.0234375</x:v>
      </x:c>
      <x:c r="H56" s="30" t="n">
        <x:f>D56/B56</x:f>
        <x:v>0.01171875</x:v>
      </x:c>
      <x:c r="I56" s="30" t="n">
        <x:f>E56/B56</x:f>
        <x:v>0.00390625</x:v>
      </x:c>
      <x:c r="J56" s="30" t="n">
        <x:f>F56/B56</x:f>
        <x:v>0.9609375</x:v>
      </x:c>
      <x:c r="K56" s="30" t="n">
        <x:f>J56</x:f>
        <x:v>0.9609375</x:v>
      </x:c>
      <x:c r="L56" s="30" t="n">
        <x:f>0.5*(ABS(G56-0.0)+ABS(H56-0.0)+ABS(I56-0.0)+ABS(J56-1.0))</x:f>
        <x:v>0.0390625</x:v>
      </x:c>
    </x:row>
    <x:row r="57">
      <x:c r="A57" s="29" t="n">
        <x:v>54</x:v>
      </x:c>
      <x:c r="B57" s="29" t="n">
        <x:v>256</x:v>
      </x:c>
      <x:c r="C57" s="29" t="n">
        <x:v>7</x:v>
      </x:c>
      <x:c r="D57" s="29" t="n">
        <x:v>1</x:v>
      </x:c>
      <x:c r="E57" s="29" t="n">
        <x:v>1</x:v>
      </x:c>
      <x:c r="F57" s="29" t="n">
        <x:v>247</x:v>
      </x:c>
      <x:c r="G57" s="30" t="n">
        <x:f>C57/B57</x:f>
        <x:v>0.02734375</x:v>
      </x:c>
      <x:c r="H57" s="30" t="n">
        <x:f>D57/B57</x:f>
        <x:v>0.00390625</x:v>
      </x:c>
      <x:c r="I57" s="30" t="n">
        <x:f>E57/B57</x:f>
        <x:v>0.00390625</x:v>
      </x:c>
      <x:c r="J57" s="30" t="n">
        <x:f>F57/B57</x:f>
        <x:v>0.96484375</x:v>
      </x:c>
      <x:c r="K57" s="30" t="n">
        <x:f>J57</x:f>
        <x:v>0.96484375</x:v>
      </x:c>
      <x:c r="L57" s="30" t="n">
        <x:f>0.5*(ABS(G57-0.0)+ABS(H57-0.0)+ABS(I57-0.0)+ABS(J57-1.0))</x:f>
        <x:v>0.03515625</x:v>
      </x:c>
    </x:row>
    <x:row r="58">
      <x:c r="A58" s="29" t="n">
        <x:v>55</x:v>
      </x:c>
      <x:c r="B58" s="29" t="n">
        <x:v>256</x:v>
      </x:c>
      <x:c r="C58" s="29" t="n">
        <x:v>4</x:v>
      </x:c>
      <x:c r="D58" s="29" t="n">
        <x:v>1</x:v>
      </x:c>
      <x:c r="E58" s="29" t="n">
        <x:v>4</x:v>
      </x:c>
      <x:c r="F58" s="29" t="n">
        <x:v>247</x:v>
      </x:c>
      <x:c r="G58" s="30" t="n">
        <x:f>C58/B58</x:f>
        <x:v>0.015625</x:v>
      </x:c>
      <x:c r="H58" s="30" t="n">
        <x:f>D58/B58</x:f>
        <x:v>0.00390625</x:v>
      </x:c>
      <x:c r="I58" s="30" t="n">
        <x:f>E58/B58</x:f>
        <x:v>0.015625</x:v>
      </x:c>
      <x:c r="J58" s="30" t="n">
        <x:f>F58/B58</x:f>
        <x:v>0.96484375</x:v>
      </x:c>
      <x:c r="K58" s="30" t="n">
        <x:f>J58</x:f>
        <x:v>0.96484375</x:v>
      </x:c>
      <x:c r="L58" s="30" t="n">
        <x:f>0.5*(ABS(G58-0.0)+ABS(H58-0.0)+ABS(I58-0.0)+ABS(J58-1.0))</x:f>
        <x:v>0.03515625</x:v>
      </x:c>
    </x:row>
    <x:row r="59">
      <x:c r="A59" s="29" t="n">
        <x:v>56</x:v>
      </x:c>
      <x:c r="B59" s="29" t="n">
        <x:v>256</x:v>
      </x:c>
      <x:c r="C59" s="29" t="n">
        <x:v>3</x:v>
      </x:c>
      <x:c r="D59" s="29" t="n">
        <x:v>2</x:v>
      </x:c>
      <x:c r="E59" s="29" t="n">
        <x:v>3</x:v>
      </x:c>
      <x:c r="F59" s="29" t="n">
        <x:v>248</x:v>
      </x:c>
      <x:c r="G59" s="30" t="n">
        <x:f>C59/B59</x:f>
        <x:v>0.01171875</x:v>
      </x:c>
      <x:c r="H59" s="30" t="n">
        <x:f>D59/B59</x:f>
        <x:v>0.0078125</x:v>
      </x:c>
      <x:c r="I59" s="30" t="n">
        <x:f>E59/B59</x:f>
        <x:v>0.01171875</x:v>
      </x:c>
      <x:c r="J59" s="30" t="n">
        <x:f>F59/B59</x:f>
        <x:v>0.96875</x:v>
      </x:c>
      <x:c r="K59" s="30" t="n">
        <x:f>J59</x:f>
        <x:v>0.96875</x:v>
      </x:c>
      <x:c r="L59" s="30" t="n">
        <x:f>0.5*(ABS(G59-0.0)+ABS(H59-0.0)+ABS(I59-0.0)+ABS(J59-1.0))</x:f>
        <x:v>0.03125</x:v>
      </x:c>
    </x:row>
    <x:row r="60">
      <x:c r="A60" s="29" t="n">
        <x:v>57</x:v>
      </x:c>
      <x:c r="B60" s="29" t="n">
        <x:v>256</x:v>
      </x:c>
      <x:c r="C60" s="29" t="n">
        <x:v>2</x:v>
      </x:c>
      <x:c r="D60" s="29" t="n">
        <x:v>3</x:v>
      </x:c>
      <x:c r="E60" s="29" t="n">
        <x:v>3</x:v>
      </x:c>
      <x:c r="F60" s="29" t="n">
        <x:v>248</x:v>
      </x:c>
      <x:c r="G60" s="30" t="n">
        <x:f>C60/B60</x:f>
        <x:v>0.0078125</x:v>
      </x:c>
      <x:c r="H60" s="30" t="n">
        <x:f>D60/B60</x:f>
        <x:v>0.01171875</x:v>
      </x:c>
      <x:c r="I60" s="30" t="n">
        <x:f>E60/B60</x:f>
        <x:v>0.01171875</x:v>
      </x:c>
      <x:c r="J60" s="30" t="n">
        <x:f>F60/B60</x:f>
        <x:v>0.96875</x:v>
      </x:c>
      <x:c r="K60" s="30" t="n">
        <x:f>J60</x:f>
        <x:v>0.96875</x:v>
      </x:c>
      <x:c r="L60" s="30" t="n">
        <x:f>0.5*(ABS(G60-0.0)+ABS(H60-0.0)+ABS(I60-0.0)+ABS(J60-1.0))</x:f>
        <x:v>0.03125</x:v>
      </x:c>
    </x:row>
    <x:row r="61">
      <x:c r="A61" s="29" t="n">
        <x:v>58</x:v>
      </x:c>
      <x:c r="B61" s="29" t="n">
        <x:v>256</x:v>
      </x:c>
      <x:c r="C61" s="29" t="n">
        <x:v>3</x:v>
      </x:c>
      <x:c r="D61" s="29" t="n">
        <x:v>2</x:v>
      </x:c>
      <x:c r="E61" s="29" t="n">
        <x:v>1</x:v>
      </x:c>
      <x:c r="F61" s="29" t="n">
        <x:v>250</x:v>
      </x:c>
      <x:c r="G61" s="30" t="n">
        <x:f>C61/B61</x:f>
        <x:v>0.01171875</x:v>
      </x:c>
      <x:c r="H61" s="30" t="n">
        <x:f>D61/B61</x:f>
        <x:v>0.0078125</x:v>
      </x:c>
      <x:c r="I61" s="30" t="n">
        <x:f>E61/B61</x:f>
        <x:v>0.00390625</x:v>
      </x:c>
      <x:c r="J61" s="30" t="n">
        <x:f>F61/B61</x:f>
        <x:v>0.9765625</x:v>
      </x:c>
      <x:c r="K61" s="30" t="n">
        <x:f>J61</x:f>
        <x:v>0.9765625</x:v>
      </x:c>
      <x:c r="L61" s="30" t="n">
        <x:f>0.5*(ABS(G61-0.0)+ABS(H61-0.0)+ABS(I61-0.0)+ABS(J61-1.0))</x:f>
        <x:v>0.0234375</x:v>
      </x:c>
    </x:row>
    <x:row r="62">
      <x:c r="A62" s="29" t="n">
        <x:v>59</x:v>
      </x:c>
      <x:c r="B62" s="29" t="n">
        <x:v>256</x:v>
      </x:c>
      <x:c r="C62" s="29" t="n">
        <x:v>1</x:v>
      </x:c>
      <x:c r="D62" s="29" t="n">
        <x:v>2</x:v>
      </x:c>
      <x:c r="E62" s="29" t="n">
        <x:v>2</x:v>
      </x:c>
      <x:c r="F62" s="29" t="n">
        <x:v>251</x:v>
      </x:c>
      <x:c r="G62" s="30" t="n">
        <x:f>C62/B62</x:f>
        <x:v>0.00390625</x:v>
      </x:c>
      <x:c r="H62" s="30" t="n">
        <x:f>D62/B62</x:f>
        <x:v>0.0078125</x:v>
      </x:c>
      <x:c r="I62" s="30" t="n">
        <x:f>E62/B62</x:f>
        <x:v>0.0078125</x:v>
      </x:c>
      <x:c r="J62" s="30" t="n">
        <x:f>F62/B62</x:f>
        <x:v>0.98046875</x:v>
      </x:c>
      <x:c r="K62" s="30" t="n">
        <x:f>J62</x:f>
        <x:v>0.98046875</x:v>
      </x:c>
      <x:c r="L62" s="30" t="n">
        <x:f>0.5*(ABS(G62-0.0)+ABS(H62-0.0)+ABS(I62-0.0)+ABS(J62-1.0))</x:f>
        <x:v>0.01953125</x:v>
      </x:c>
    </x:row>
    <x:row r="63">
      <x:c r="A63" s="29" t="n">
        <x:v>60</x:v>
      </x:c>
      <x:c r="B63" s="29" t="n">
        <x:v>256</x:v>
      </x:c>
      <x:c r="C63" s="29" t="n">
        <x:v>3</x:v>
      </x:c>
      <x:c r="D63" s="29" t="n">
        <x:v>3</x:v>
      </x:c>
      <x:c r="E63" s="29" t="n">
        <x:v>3</x:v>
      </x:c>
      <x:c r="F63" s="29" t="n">
        <x:v>247</x:v>
      </x:c>
      <x:c r="G63" s="30" t="n">
        <x:f>C63/B63</x:f>
        <x:v>0.01171875</x:v>
      </x:c>
      <x:c r="H63" s="30" t="n">
        <x:f>D63/B63</x:f>
        <x:v>0.01171875</x:v>
      </x:c>
      <x:c r="I63" s="30" t="n">
        <x:f>E63/B63</x:f>
        <x:v>0.01171875</x:v>
      </x:c>
      <x:c r="J63" s="30" t="n">
        <x:f>F63/B63</x:f>
        <x:v>0.96484375</x:v>
      </x:c>
      <x:c r="K63" s="30" t="n">
        <x:f>J63</x:f>
        <x:v>0.96484375</x:v>
      </x:c>
      <x:c r="L63" s="30" t="n">
        <x:f>0.5*(ABS(G63-0.0)+ABS(H63-0.0)+ABS(I63-0.0)+ABS(J63-1.0))</x:f>
        <x:v>0.03515625</x:v>
      </x:c>
    </x:row>
    <x:row r="64">
      <x:c r="A64" s="29" t="n">
        <x:v>61</x:v>
      </x:c>
      <x:c r="B64" s="29" t="n">
        <x:v>256</x:v>
      </x:c>
      <x:c r="C64" s="29" t="n">
        <x:v>3</x:v>
      </x:c>
      <x:c r="D64" s="29" t="n">
        <x:v>1</x:v>
      </x:c>
      <x:c r="E64" s="29" t="n">
        <x:v>2</x:v>
      </x:c>
      <x:c r="F64" s="29" t="n">
        <x:v>250</x:v>
      </x:c>
      <x:c r="G64" s="30" t="n">
        <x:f>C64/B64</x:f>
        <x:v>0.01171875</x:v>
      </x:c>
      <x:c r="H64" s="30" t="n">
        <x:f>D64/B64</x:f>
        <x:v>0.00390625</x:v>
      </x:c>
      <x:c r="I64" s="30" t="n">
        <x:f>E64/B64</x:f>
        <x:v>0.0078125</x:v>
      </x:c>
      <x:c r="J64" s="30" t="n">
        <x:f>F64/B64</x:f>
        <x:v>0.9765625</x:v>
      </x:c>
      <x:c r="K64" s="30" t="n">
        <x:f>J64</x:f>
        <x:v>0.9765625</x:v>
      </x:c>
      <x:c r="L64" s="30" t="n">
        <x:f>0.5*(ABS(G64-0.0)+ABS(H64-0.0)+ABS(I64-0.0)+ABS(J64-1.0))</x:f>
        <x:v>0.0234375</x:v>
      </x:c>
    </x:row>
    <x:row r="65">
      <x:c r="A65" s="29" t="n">
        <x:v>62</x:v>
      </x:c>
      <x:c r="B65" s="29" t="n">
        <x:v>256</x:v>
      </x:c>
      <x:c r="C65" s="29" t="n">
        <x:v>4</x:v>
      </x:c>
      <x:c r="D65" s="29" t="n">
        <x:v>2</x:v>
      </x:c>
      <x:c r="E65" s="29" t="n">
        <x:v>4</x:v>
      </x:c>
      <x:c r="F65" s="29" t="n">
        <x:v>246</x:v>
      </x:c>
      <x:c r="G65" s="30" t="n">
        <x:f>C65/B65</x:f>
        <x:v>0.015625</x:v>
      </x:c>
      <x:c r="H65" s="30" t="n">
        <x:f>D65/B65</x:f>
        <x:v>0.0078125</x:v>
      </x:c>
      <x:c r="I65" s="30" t="n">
        <x:f>E65/B65</x:f>
        <x:v>0.015625</x:v>
      </x:c>
      <x:c r="J65" s="30" t="n">
        <x:f>F65/B65</x:f>
        <x:v>0.9609375</x:v>
      </x:c>
      <x:c r="K65" s="30" t="n">
        <x:f>J65</x:f>
        <x:v>0.9609375</x:v>
      </x:c>
      <x:c r="L65" s="30" t="n">
        <x:f>0.5*(ABS(G65-0.0)+ABS(H65-0.0)+ABS(I65-0.0)+ABS(J65-1.0))</x:f>
        <x:v>0.0390625</x:v>
      </x:c>
    </x:row>
    <x:row r="66">
      <x:c r="A66" s="29" t="n">
        <x:v>63</x:v>
      </x:c>
      <x:c r="B66" s="29" t="n">
        <x:v>256</x:v>
      </x:c>
      <x:c r="C66" s="29" t="n">
        <x:v>3</x:v>
      </x:c>
      <x:c r="D66" s="29" t="n">
        <x:v>3</x:v>
      </x:c>
      <x:c r="E66" s="29" t="n">
        <x:v>1</x:v>
      </x:c>
      <x:c r="F66" s="29" t="n">
        <x:v>249</x:v>
      </x:c>
      <x:c r="G66" s="30" t="n">
        <x:f>C66/B66</x:f>
        <x:v>0.01171875</x:v>
      </x:c>
      <x:c r="H66" s="30" t="n">
        <x:f>D66/B66</x:f>
        <x:v>0.01171875</x:v>
      </x:c>
      <x:c r="I66" s="30" t="n">
        <x:f>E66/B66</x:f>
        <x:v>0.00390625</x:v>
      </x:c>
      <x:c r="J66" s="30" t="n">
        <x:f>F66/B66</x:f>
        <x:v>0.97265625</x:v>
      </x:c>
      <x:c r="K66" s="30" t="n">
        <x:f>J66</x:f>
        <x:v>0.97265625</x:v>
      </x:c>
      <x:c r="L66" s="30" t="n">
        <x:f>0.5*(ABS(G66-0.0)+ABS(H66-0.0)+ABS(I66-0.0)+ABS(J66-1.0))</x:f>
        <x:v>0.02734375</x:v>
      </x:c>
    </x:row>
    <x:row r="67">
      <x:c r="A67" s="29" t="n">
        <x:v>64</x:v>
      </x:c>
      <x:c r="B67" s="29" t="n">
        <x:v>256</x:v>
      </x:c>
      <x:c r="C67" s="29" t="n">
        <x:v>1</x:v>
      </x:c>
      <x:c r="D67" s="29" t="n">
        <x:v>4</x:v>
      </x:c>
      <x:c r="E67" s="29" t="n">
        <x:v>2</x:v>
      </x:c>
      <x:c r="F67" s="29" t="n">
        <x:v>249</x:v>
      </x:c>
      <x:c r="G67" s="30" t="n">
        <x:f>C67/B67</x:f>
        <x:v>0.00390625</x:v>
      </x:c>
      <x:c r="H67" s="30" t="n">
        <x:f>D67/B67</x:f>
        <x:v>0.015625</x:v>
      </x:c>
      <x:c r="I67" s="30" t="n">
        <x:f>E67/B67</x:f>
        <x:v>0.0078125</x:v>
      </x:c>
      <x:c r="J67" s="30" t="n">
        <x:f>F67/B67</x:f>
        <x:v>0.97265625</x:v>
      </x:c>
      <x:c r="K67" s="30" t="n">
        <x:f>J67</x:f>
        <x:v>0.97265625</x:v>
      </x:c>
      <x:c r="L67" s="30" t="n">
        <x:f>0.5*(ABS(G67-0.0)+ABS(H67-0.0)+ABS(I67-0.0)+ABS(J67-1.0))</x:f>
        <x:v>0.02734375</x:v>
      </x:c>
    </x:row>
    <x:row r="68">
      <x:c r="A68" s="29" t="n">
        <x:v>65</x:v>
      </x:c>
      <x:c r="B68" s="29" t="n">
        <x:v>256</x:v>
      </x:c>
      <x:c r="C68" s="29" t="n">
        <x:v>2</x:v>
      </x:c>
      <x:c r="D68" s="29" t="n">
        <x:v>1</x:v>
      </x:c>
      <x:c r="E68" s="29" t="n">
        <x:v>0</x:v>
      </x:c>
      <x:c r="F68" s="29" t="n">
        <x:v>253</x:v>
      </x:c>
      <x:c r="G68" s="30" t="n">
        <x:f>C68/B68</x:f>
        <x:v>0.0078125</x:v>
      </x:c>
      <x:c r="H68" s="30" t="n">
        <x:f>D68/B68</x:f>
        <x:v>0.00390625</x:v>
      </x:c>
      <x:c r="I68" s="30" t="n">
        <x:f>E68/B68</x:f>
        <x:v>0</x:v>
      </x:c>
      <x:c r="J68" s="30" t="n">
        <x:f>F68/B68</x:f>
        <x:v>0.98828125</x:v>
      </x:c>
      <x:c r="K68" s="30" t="n">
        <x:f>J68</x:f>
        <x:v>0.98828125</x:v>
      </x:c>
      <x:c r="L68" s="30" t="n">
        <x:f>0.5*(ABS(G68-0.0)+ABS(H68-0.0)+ABS(I68-0.0)+ABS(J68-1.0))</x:f>
        <x:v>0.01171875</x:v>
      </x:c>
    </x:row>
    <x:row r="69">
      <x:c r="A69" s="29" t="n">
        <x:v>66</x:v>
      </x:c>
      <x:c r="B69" s="29" t="n">
        <x:v>256</x:v>
      </x:c>
      <x:c r="C69" s="29" t="n">
        <x:v>1</x:v>
      </x:c>
      <x:c r="D69" s="29" t="n">
        <x:v>1</x:v>
      </x:c>
      <x:c r="E69" s="29" t="n">
        <x:v>3</x:v>
      </x:c>
      <x:c r="F69" s="29" t="n">
        <x:v>251</x:v>
      </x:c>
      <x:c r="G69" s="30" t="n">
        <x:f>C69/B69</x:f>
        <x:v>0.00390625</x:v>
      </x:c>
      <x:c r="H69" s="30" t="n">
        <x:f>D69/B69</x:f>
        <x:v>0.00390625</x:v>
      </x:c>
      <x:c r="I69" s="30" t="n">
        <x:f>E69/B69</x:f>
        <x:v>0.01171875</x:v>
      </x:c>
      <x:c r="J69" s="30" t="n">
        <x:f>F69/B69</x:f>
        <x:v>0.98046875</x:v>
      </x:c>
      <x:c r="K69" s="30" t="n">
        <x:f>J69</x:f>
        <x:v>0.98046875</x:v>
      </x:c>
      <x:c r="L69" s="30" t="n">
        <x:f>0.5*(ABS(G69-0.0)+ABS(H69-0.0)+ABS(I69-0.0)+ABS(J69-1.0))</x:f>
        <x:v>0.01953125</x:v>
      </x:c>
    </x:row>
    <x:row r="70">
      <x:c r="A70" s="29" t="n">
        <x:v>67</x:v>
      </x:c>
      <x:c r="B70" s="29" t="n">
        <x:v>256</x:v>
      </x:c>
      <x:c r="C70" s="29" t="n">
        <x:v>7</x:v>
      </x:c>
      <x:c r="D70" s="29" t="n">
        <x:v>2</x:v>
      </x:c>
      <x:c r="E70" s="29" t="n">
        <x:v>1</x:v>
      </x:c>
      <x:c r="F70" s="29" t="n">
        <x:v>246</x:v>
      </x:c>
      <x:c r="G70" s="30" t="n">
        <x:f>C70/B70</x:f>
        <x:v>0.02734375</x:v>
      </x:c>
      <x:c r="H70" s="30" t="n">
        <x:f>D70/B70</x:f>
        <x:v>0.0078125</x:v>
      </x:c>
      <x:c r="I70" s="30" t="n">
        <x:f>E70/B70</x:f>
        <x:v>0.00390625</x:v>
      </x:c>
      <x:c r="J70" s="30" t="n">
        <x:f>F70/B70</x:f>
        <x:v>0.9609375</x:v>
      </x:c>
      <x:c r="K70" s="30" t="n">
        <x:f>J70</x:f>
        <x:v>0.9609375</x:v>
      </x:c>
      <x:c r="L70" s="30" t="n">
        <x:f>0.5*(ABS(G70-0.0)+ABS(H70-0.0)+ABS(I70-0.0)+ABS(J70-1.0))</x:f>
        <x:v>0.0390625</x:v>
      </x:c>
    </x:row>
    <x:row r="71">
      <x:c r="A71" s="29" t="n">
        <x:v>68</x:v>
      </x:c>
      <x:c r="B71" s="29" t="n">
        <x:v>256</x:v>
      </x:c>
      <x:c r="C71" s="29" t="n">
        <x:v>3</x:v>
      </x:c>
      <x:c r="D71" s="29" t="n">
        <x:v>1</x:v>
      </x:c>
      <x:c r="E71" s="29" t="n">
        <x:v>1</x:v>
      </x:c>
      <x:c r="F71" s="29" t="n">
        <x:v>251</x:v>
      </x:c>
      <x:c r="G71" s="30" t="n">
        <x:f>C71/B71</x:f>
        <x:v>0.01171875</x:v>
      </x:c>
      <x:c r="H71" s="30" t="n">
        <x:f>D71/B71</x:f>
        <x:v>0.00390625</x:v>
      </x:c>
      <x:c r="I71" s="30" t="n">
        <x:f>E71/B71</x:f>
        <x:v>0.00390625</x:v>
      </x:c>
      <x:c r="J71" s="30" t="n">
        <x:f>F71/B71</x:f>
        <x:v>0.98046875</x:v>
      </x:c>
      <x:c r="K71" s="30" t="n">
        <x:f>J71</x:f>
        <x:v>0.98046875</x:v>
      </x:c>
      <x:c r="L71" s="30" t="n">
        <x:f>0.5*(ABS(G71-0.0)+ABS(H71-0.0)+ABS(I71-0.0)+ABS(J71-1.0))</x:f>
        <x:v>0.01953125</x:v>
      </x:c>
    </x:row>
    <x:row r="72">
      <x:c r="A72" s="29" t="n">
        <x:v>69</x:v>
      </x:c>
      <x:c r="B72" s="29" t="n">
        <x:v>256</x:v>
      </x:c>
      <x:c r="C72" s="29" t="n">
        <x:v>2</x:v>
      </x:c>
      <x:c r="D72" s="29" t="n">
        <x:v>0</x:v>
      </x:c>
      <x:c r="E72" s="29" t="n">
        <x:v>2</x:v>
      </x:c>
      <x:c r="F72" s="29" t="n">
        <x:v>252</x:v>
      </x:c>
      <x:c r="G72" s="30" t="n">
        <x:f>C72/B72</x:f>
        <x:v>0.0078125</x:v>
      </x:c>
      <x:c r="H72" s="30" t="n">
        <x:f>D72/B72</x:f>
        <x:v>0</x:v>
      </x:c>
      <x:c r="I72" s="30" t="n">
        <x:f>E72/B72</x:f>
        <x:v>0.0078125</x:v>
      </x:c>
      <x:c r="J72" s="30" t="n">
        <x:f>F72/B72</x:f>
        <x:v>0.984375</x:v>
      </x:c>
      <x:c r="K72" s="30" t="n">
        <x:f>J72</x:f>
        <x:v>0.984375</x:v>
      </x:c>
      <x:c r="L72" s="30" t="n">
        <x:f>0.5*(ABS(G72-0.0)+ABS(H72-0.0)+ABS(I72-0.0)+ABS(J72-1.0))</x:f>
        <x:v>0.015625</x:v>
      </x:c>
    </x:row>
    <x:row r="73">
      <x:c r="A73" s="29" t="n">
        <x:v>70</x:v>
      </x:c>
      <x:c r="B73" s="29" t="n">
        <x:v>256</x:v>
      </x:c>
      <x:c r="C73" s="29" t="n">
        <x:v>4</x:v>
      </x:c>
      <x:c r="D73" s="29" t="n">
        <x:v>2</x:v>
      </x:c>
      <x:c r="E73" s="29" t="n">
        <x:v>3</x:v>
      </x:c>
      <x:c r="F73" s="29" t="n">
        <x:v>247</x:v>
      </x:c>
      <x:c r="G73" s="30" t="n">
        <x:f>C73/B73</x:f>
        <x:v>0.015625</x:v>
      </x:c>
      <x:c r="H73" s="30" t="n">
        <x:f>D73/B73</x:f>
        <x:v>0.0078125</x:v>
      </x:c>
      <x:c r="I73" s="30" t="n">
        <x:f>E73/B73</x:f>
        <x:v>0.01171875</x:v>
      </x:c>
      <x:c r="J73" s="30" t="n">
        <x:f>F73/B73</x:f>
        <x:v>0.96484375</x:v>
      </x:c>
      <x:c r="K73" s="30" t="n">
        <x:f>J73</x:f>
        <x:v>0.96484375</x:v>
      </x:c>
      <x:c r="L73" s="30" t="n">
        <x:f>0.5*(ABS(G73-0.0)+ABS(H73-0.0)+ABS(I73-0.0)+ABS(J73-1.0))</x:f>
        <x:v>0.03515625</x:v>
      </x:c>
    </x:row>
    <x:row r="74">
      <x:c r="A74" s="29" t="n">
        <x:v>71</x:v>
      </x:c>
      <x:c r="B74" s="29" t="n">
        <x:v>256</x:v>
      </x:c>
      <x:c r="C74" s="29" t="n">
        <x:v>3</x:v>
      </x:c>
      <x:c r="D74" s="29" t="n">
        <x:v>2</x:v>
      </x:c>
      <x:c r="E74" s="29" t="n">
        <x:v>3</x:v>
      </x:c>
      <x:c r="F74" s="29" t="n">
        <x:v>248</x:v>
      </x:c>
      <x:c r="G74" s="30" t="n">
        <x:f>C74/B74</x:f>
        <x:v>0.01171875</x:v>
      </x:c>
      <x:c r="H74" s="30" t="n">
        <x:f>D74/B74</x:f>
        <x:v>0.0078125</x:v>
      </x:c>
      <x:c r="I74" s="30" t="n">
        <x:f>E74/B74</x:f>
        <x:v>0.01171875</x:v>
      </x:c>
      <x:c r="J74" s="30" t="n">
        <x:f>F74/B74</x:f>
        <x:v>0.96875</x:v>
      </x:c>
      <x:c r="K74" s="30" t="n">
        <x:f>J74</x:f>
        <x:v>0.96875</x:v>
      </x:c>
      <x:c r="L74" s="30" t="n">
        <x:f>0.5*(ABS(G74-0.0)+ABS(H74-0.0)+ABS(I74-0.0)+ABS(J74-1.0))</x:f>
        <x:v>0.03125</x:v>
      </x:c>
    </x:row>
    <x:row r="75">
      <x:c r="A75" s="29" t="n">
        <x:v>72</x:v>
      </x:c>
      <x:c r="B75" s="29" t="n">
        <x:v>256</x:v>
      </x:c>
      <x:c r="C75" s="29" t="n">
        <x:v>6</x:v>
      </x:c>
      <x:c r="D75" s="29" t="n">
        <x:v>1</x:v>
      </x:c>
      <x:c r="E75" s="29" t="n">
        <x:v>0</x:v>
      </x:c>
      <x:c r="F75" s="29" t="n">
        <x:v>249</x:v>
      </x:c>
      <x:c r="G75" s="30" t="n">
        <x:f>C75/B75</x:f>
        <x:v>0.0234375</x:v>
      </x:c>
      <x:c r="H75" s="30" t="n">
        <x:f>D75/B75</x:f>
        <x:v>0.00390625</x:v>
      </x:c>
      <x:c r="I75" s="30" t="n">
        <x:f>E75/B75</x:f>
        <x:v>0</x:v>
      </x:c>
      <x:c r="J75" s="30" t="n">
        <x:f>F75/B75</x:f>
        <x:v>0.97265625</x:v>
      </x:c>
      <x:c r="K75" s="30" t="n">
        <x:f>J75</x:f>
        <x:v>0.97265625</x:v>
      </x:c>
      <x:c r="L75" s="30" t="n">
        <x:f>0.5*(ABS(G75-0.0)+ABS(H75-0.0)+ABS(I75-0.0)+ABS(J75-1.0))</x:f>
        <x:v>0.02734375</x:v>
      </x:c>
    </x:row>
    <x:row r="76">
      <x:c r="A76" s="29" t="n">
        <x:v>73</x:v>
      </x:c>
      <x:c r="B76" s="29" t="n">
        <x:v>256</x:v>
      </x:c>
      <x:c r="C76" s="29" t="n">
        <x:v>2</x:v>
      </x:c>
      <x:c r="D76" s="29" t="n">
        <x:v>2</x:v>
      </x:c>
      <x:c r="E76" s="29" t="n">
        <x:v>2</x:v>
      </x:c>
      <x:c r="F76" s="29" t="n">
        <x:v>250</x:v>
      </x:c>
      <x:c r="G76" s="30" t="n">
        <x:f>C76/B76</x:f>
        <x:v>0.0078125</x:v>
      </x:c>
      <x:c r="H76" s="30" t="n">
        <x:f>D76/B76</x:f>
        <x:v>0.0078125</x:v>
      </x:c>
      <x:c r="I76" s="30" t="n">
        <x:f>E76/B76</x:f>
        <x:v>0.0078125</x:v>
      </x:c>
      <x:c r="J76" s="30" t="n">
        <x:f>F76/B76</x:f>
        <x:v>0.9765625</x:v>
      </x:c>
      <x:c r="K76" s="30" t="n">
        <x:f>J76</x:f>
        <x:v>0.9765625</x:v>
      </x:c>
      <x:c r="L76" s="30" t="n">
        <x:f>0.5*(ABS(G76-0.0)+ABS(H76-0.0)+ABS(I76-0.0)+ABS(J76-1.0))</x:f>
        <x:v>0.0234375</x:v>
      </x:c>
    </x:row>
    <x:row r="77">
      <x:c r="A77" s="29" t="n">
        <x:v>74</x:v>
      </x:c>
      <x:c r="B77" s="29" t="n">
        <x:v>256</x:v>
      </x:c>
      <x:c r="C77" s="29" t="n">
        <x:v>3</x:v>
      </x:c>
      <x:c r="D77" s="29" t="n">
        <x:v>1</x:v>
      </x:c>
      <x:c r="E77" s="29" t="n">
        <x:v>2</x:v>
      </x:c>
      <x:c r="F77" s="29" t="n">
        <x:v>250</x:v>
      </x:c>
      <x:c r="G77" s="30" t="n">
        <x:f>C77/B77</x:f>
        <x:v>0.01171875</x:v>
      </x:c>
      <x:c r="H77" s="30" t="n">
        <x:f>D77/B77</x:f>
        <x:v>0.00390625</x:v>
      </x:c>
      <x:c r="I77" s="30" t="n">
        <x:f>E77/B77</x:f>
        <x:v>0.0078125</x:v>
      </x:c>
      <x:c r="J77" s="30" t="n">
        <x:f>F77/B77</x:f>
        <x:v>0.9765625</x:v>
      </x:c>
      <x:c r="K77" s="30" t="n">
        <x:f>J77</x:f>
        <x:v>0.9765625</x:v>
      </x:c>
      <x:c r="L77" s="30" t="n">
        <x:f>0.5*(ABS(G77-0.0)+ABS(H77-0.0)+ABS(I77-0.0)+ABS(J77-1.0))</x:f>
        <x:v>0.0234375</x:v>
      </x:c>
    </x:row>
    <x:row r="78">
      <x:c r="A78" s="29" t="n">
        <x:v>75</x:v>
      </x:c>
      <x:c r="B78" s="29" t="n">
        <x:v>256</x:v>
      </x:c>
      <x:c r="C78" s="29" t="n">
        <x:v>1</x:v>
      </x:c>
      <x:c r="D78" s="29" t="n">
        <x:v>1</x:v>
      </x:c>
      <x:c r="E78" s="29" t="n">
        <x:v>2</x:v>
      </x:c>
      <x:c r="F78" s="29" t="n">
        <x:v>252</x:v>
      </x:c>
      <x:c r="G78" s="30" t="n">
        <x:f>C78/B78</x:f>
        <x:v>0.00390625</x:v>
      </x:c>
      <x:c r="H78" s="30" t="n">
        <x:f>D78/B78</x:f>
        <x:v>0.00390625</x:v>
      </x:c>
      <x:c r="I78" s="30" t="n">
        <x:f>E78/B78</x:f>
        <x:v>0.0078125</x:v>
      </x:c>
      <x:c r="J78" s="30" t="n">
        <x:f>F78/B78</x:f>
        <x:v>0.984375</x:v>
      </x:c>
      <x:c r="K78" s="30" t="n">
        <x:f>J78</x:f>
        <x:v>0.984375</x:v>
      </x:c>
      <x:c r="L78" s="30" t="n">
        <x:f>0.5*(ABS(G78-0.0)+ABS(H78-0.0)+ABS(I78-0.0)+ABS(J78-1.0))</x:f>
        <x:v>0.015625</x:v>
      </x:c>
    </x:row>
    <x:row r="79">
      <x:c r="A79" s="29" t="n">
        <x:v>76</x:v>
      </x:c>
      <x:c r="B79" s="29" t="n">
        <x:v>256</x:v>
      </x:c>
      <x:c r="C79" s="29" t="n">
        <x:v>3</x:v>
      </x:c>
      <x:c r="D79" s="29" t="n">
        <x:v>1</x:v>
      </x:c>
      <x:c r="E79" s="29" t="n">
        <x:v>1</x:v>
      </x:c>
      <x:c r="F79" s="29" t="n">
        <x:v>251</x:v>
      </x:c>
      <x:c r="G79" s="30" t="n">
        <x:f>C79/B79</x:f>
        <x:v>0.01171875</x:v>
      </x:c>
      <x:c r="H79" s="30" t="n">
        <x:f>D79/B79</x:f>
        <x:v>0.00390625</x:v>
      </x:c>
      <x:c r="I79" s="30" t="n">
        <x:f>E79/B79</x:f>
        <x:v>0.00390625</x:v>
      </x:c>
      <x:c r="J79" s="30" t="n">
        <x:f>F79/B79</x:f>
        <x:v>0.98046875</x:v>
      </x:c>
      <x:c r="K79" s="30" t="n">
        <x:f>J79</x:f>
        <x:v>0.98046875</x:v>
      </x:c>
      <x:c r="L79" s="30" t="n">
        <x:f>0.5*(ABS(G79-0.0)+ABS(H79-0.0)+ABS(I79-0.0)+ABS(J79-1.0))</x:f>
        <x:v>0.01953125</x:v>
      </x:c>
    </x:row>
    <x:row r="80">
      <x:c r="A80" s="29" t="n">
        <x:v>77</x:v>
      </x:c>
      <x:c r="B80" s="29" t="n">
        <x:v>256</x:v>
      </x:c>
      <x:c r="C80" s="29" t="n">
        <x:v>5</x:v>
      </x:c>
      <x:c r="D80" s="29" t="n">
        <x:v>3</x:v>
      </x:c>
      <x:c r="E80" s="29" t="n">
        <x:v>2</x:v>
      </x:c>
      <x:c r="F80" s="29" t="n">
        <x:v>246</x:v>
      </x:c>
      <x:c r="G80" s="30" t="n">
        <x:f>C80/B80</x:f>
        <x:v>0.01953125</x:v>
      </x:c>
      <x:c r="H80" s="30" t="n">
        <x:f>D80/B80</x:f>
        <x:v>0.01171875</x:v>
      </x:c>
      <x:c r="I80" s="30" t="n">
        <x:f>E80/B80</x:f>
        <x:v>0.0078125</x:v>
      </x:c>
      <x:c r="J80" s="30" t="n">
        <x:f>F80/B80</x:f>
        <x:v>0.9609375</x:v>
      </x:c>
      <x:c r="K80" s="30" t="n">
        <x:f>J80</x:f>
        <x:v>0.9609375</x:v>
      </x:c>
      <x:c r="L80" s="30" t="n">
        <x:f>0.5*(ABS(G80-0.0)+ABS(H80-0.0)+ABS(I80-0.0)+ABS(J80-1.0))</x:f>
        <x:v>0.0390625</x:v>
      </x:c>
    </x:row>
    <x:row r="81">
      <x:c r="A81" s="29" t="n">
        <x:v>78</x:v>
      </x:c>
      <x:c r="B81" s="29" t="n">
        <x:v>256</x:v>
      </x:c>
      <x:c r="C81" s="29" t="n">
        <x:v>5</x:v>
      </x:c>
      <x:c r="D81" s="29" t="n">
        <x:v>2</x:v>
      </x:c>
      <x:c r="E81" s="29" t="n">
        <x:v>4</x:v>
      </x:c>
      <x:c r="F81" s="29" t="n">
        <x:v>245</x:v>
      </x:c>
      <x:c r="G81" s="30" t="n">
        <x:f>C81/B81</x:f>
        <x:v>0.01953125</x:v>
      </x:c>
      <x:c r="H81" s="30" t="n">
        <x:f>D81/B81</x:f>
        <x:v>0.0078125</x:v>
      </x:c>
      <x:c r="I81" s="30" t="n">
        <x:f>E81/B81</x:f>
        <x:v>0.015625</x:v>
      </x:c>
      <x:c r="J81" s="30" t="n">
        <x:f>F81/B81</x:f>
        <x:v>0.95703125</x:v>
      </x:c>
      <x:c r="K81" s="30" t="n">
        <x:f>J81</x:f>
        <x:v>0.95703125</x:v>
      </x:c>
      <x:c r="L81" s="30" t="n">
        <x:f>0.5*(ABS(G81-0.0)+ABS(H81-0.0)+ABS(I81-0.0)+ABS(J81-1.0))</x:f>
        <x:v>0.04296875</x:v>
      </x:c>
    </x:row>
    <x:row r="82">
      <x:c r="A82" s="29" t="n">
        <x:v>79</x:v>
      </x:c>
      <x:c r="B82" s="29" t="n">
        <x:v>256</x:v>
      </x:c>
      <x:c r="C82" s="29" t="n">
        <x:v>3</x:v>
      </x:c>
      <x:c r="D82" s="29" t="n">
        <x:v>0</x:v>
      </x:c>
      <x:c r="E82" s="29" t="n">
        <x:v>5</x:v>
      </x:c>
      <x:c r="F82" s="29" t="n">
        <x:v>248</x:v>
      </x:c>
      <x:c r="G82" s="30" t="n">
        <x:f>C82/B82</x:f>
        <x:v>0.01171875</x:v>
      </x:c>
      <x:c r="H82" s="30" t="n">
        <x:f>D82/B82</x:f>
        <x:v>0</x:v>
      </x:c>
      <x:c r="I82" s="30" t="n">
        <x:f>E82/B82</x:f>
        <x:v>0.01953125</x:v>
      </x:c>
      <x:c r="J82" s="30" t="n">
        <x:f>F82/B82</x:f>
        <x:v>0.96875</x:v>
      </x:c>
      <x:c r="K82" s="30" t="n">
        <x:f>J82</x:f>
        <x:v>0.96875</x:v>
      </x:c>
      <x:c r="L82" s="30" t="n">
        <x:f>0.5*(ABS(G82-0.0)+ABS(H82-0.0)+ABS(I82-0.0)+ABS(J82-1.0))</x:f>
        <x:v>0.03125</x:v>
      </x:c>
    </x:row>
    <x:row r="83">
      <x:c r="A83" s="29" t="n">
        <x:v>80</x:v>
      </x:c>
      <x:c r="B83" s="29" t="n">
        <x:v>256</x:v>
      </x:c>
      <x:c r="C83" s="29" t="n">
        <x:v>3</x:v>
      </x:c>
      <x:c r="D83" s="29" t="n">
        <x:v>2</x:v>
      </x:c>
      <x:c r="E83" s="29" t="n">
        <x:v>1</x:v>
      </x:c>
      <x:c r="F83" s="29" t="n">
        <x:v>250</x:v>
      </x:c>
      <x:c r="G83" s="30" t="n">
        <x:f>C83/B83</x:f>
        <x:v>0.01171875</x:v>
      </x:c>
      <x:c r="H83" s="30" t="n">
        <x:f>D83/B83</x:f>
        <x:v>0.0078125</x:v>
      </x:c>
      <x:c r="I83" s="30" t="n">
        <x:f>E83/B83</x:f>
        <x:v>0.00390625</x:v>
      </x:c>
      <x:c r="J83" s="30" t="n">
        <x:f>F83/B83</x:f>
        <x:v>0.9765625</x:v>
      </x:c>
      <x:c r="K83" s="30" t="n">
        <x:f>J83</x:f>
        <x:v>0.9765625</x:v>
      </x:c>
      <x:c r="L83" s="30" t="n">
        <x:f>0.5*(ABS(G83-0.0)+ABS(H83-0.0)+ABS(I83-0.0)+ABS(J83-1.0))</x:f>
        <x:v>0.0234375</x:v>
      </x:c>
    </x:row>
    <x:row r="84">
      <x:c r="A84" s="29" t="n">
        <x:v>81</x:v>
      </x:c>
      <x:c r="B84" s="29" t="n">
        <x:v>256</x:v>
      </x:c>
      <x:c r="C84" s="29" t="n">
        <x:v>3</x:v>
      </x:c>
      <x:c r="D84" s="29" t="n">
        <x:v>3</x:v>
      </x:c>
      <x:c r="E84" s="29" t="n">
        <x:v>3</x:v>
      </x:c>
      <x:c r="F84" s="29" t="n">
        <x:v>247</x:v>
      </x:c>
      <x:c r="G84" s="30" t="n">
        <x:f>C84/B84</x:f>
        <x:v>0.01171875</x:v>
      </x:c>
      <x:c r="H84" s="30" t="n">
        <x:f>D84/B84</x:f>
        <x:v>0.01171875</x:v>
      </x:c>
      <x:c r="I84" s="30" t="n">
        <x:f>E84/B84</x:f>
        <x:v>0.01171875</x:v>
      </x:c>
      <x:c r="J84" s="30" t="n">
        <x:f>F84/B84</x:f>
        <x:v>0.96484375</x:v>
      </x:c>
      <x:c r="K84" s="30" t="n">
        <x:f>J84</x:f>
        <x:v>0.96484375</x:v>
      </x:c>
      <x:c r="L84" s="30" t="n">
        <x:f>0.5*(ABS(G84-0.0)+ABS(H84-0.0)+ABS(I84-0.0)+ABS(J84-1.0))</x:f>
        <x:v>0.03515625</x:v>
      </x:c>
    </x:row>
    <x:row r="85">
      <x:c r="A85" s="29" t="n">
        <x:v>82</x:v>
      </x:c>
      <x:c r="B85" s="29" t="n">
        <x:v>256</x:v>
      </x:c>
      <x:c r="C85" s="29" t="n">
        <x:v>6</x:v>
      </x:c>
      <x:c r="D85" s="29" t="n">
        <x:v>1</x:v>
      </x:c>
      <x:c r="E85" s="29" t="n">
        <x:v>2</x:v>
      </x:c>
      <x:c r="F85" s="29" t="n">
        <x:v>247</x:v>
      </x:c>
      <x:c r="G85" s="30" t="n">
        <x:f>C85/B85</x:f>
        <x:v>0.0234375</x:v>
      </x:c>
      <x:c r="H85" s="30" t="n">
        <x:f>D85/B85</x:f>
        <x:v>0.00390625</x:v>
      </x:c>
      <x:c r="I85" s="30" t="n">
        <x:f>E85/B85</x:f>
        <x:v>0.0078125</x:v>
      </x:c>
      <x:c r="J85" s="30" t="n">
        <x:f>F85/B85</x:f>
        <x:v>0.96484375</x:v>
      </x:c>
      <x:c r="K85" s="30" t="n">
        <x:f>J85</x:f>
        <x:v>0.96484375</x:v>
      </x:c>
      <x:c r="L85" s="30" t="n">
        <x:f>0.5*(ABS(G85-0.0)+ABS(H85-0.0)+ABS(I85-0.0)+ABS(J85-1.0))</x:f>
        <x:v>0.03515625</x:v>
      </x:c>
    </x:row>
    <x:row r="86">
      <x:c r="A86" s="29" t="n">
        <x:v>83</x:v>
      </x:c>
      <x:c r="B86" s="29" t="n">
        <x:v>256</x:v>
      </x:c>
      <x:c r="C86" s="29" t="n">
        <x:v>3</x:v>
      </x:c>
      <x:c r="D86" s="29" t="n">
        <x:v>0</x:v>
      </x:c>
      <x:c r="E86" s="29" t="n">
        <x:v>1</x:v>
      </x:c>
      <x:c r="F86" s="29" t="n">
        <x:v>252</x:v>
      </x:c>
      <x:c r="G86" s="30" t="n">
        <x:f>C86/B86</x:f>
        <x:v>0.01171875</x:v>
      </x:c>
      <x:c r="H86" s="30" t="n">
        <x:f>D86/B86</x:f>
        <x:v>0</x:v>
      </x:c>
      <x:c r="I86" s="30" t="n">
        <x:f>E86/B86</x:f>
        <x:v>0.00390625</x:v>
      </x:c>
      <x:c r="J86" s="30" t="n">
        <x:f>F86/B86</x:f>
        <x:v>0.984375</x:v>
      </x:c>
      <x:c r="K86" s="30" t="n">
        <x:f>J86</x:f>
        <x:v>0.984375</x:v>
      </x:c>
      <x:c r="L86" s="30" t="n">
        <x:f>0.5*(ABS(G86-0.0)+ABS(H86-0.0)+ABS(I86-0.0)+ABS(J86-1.0))</x:f>
        <x:v>0.015625</x:v>
      </x:c>
    </x:row>
    <x:row r="87">
      <x:c r="A87" s="29" t="n">
        <x:v>84</x:v>
      </x:c>
      <x:c r="B87" s="29" t="n">
        <x:v>256</x:v>
      </x:c>
      <x:c r="C87" s="29" t="n">
        <x:v>3</x:v>
      </x:c>
      <x:c r="D87" s="29" t="n">
        <x:v>3</x:v>
      </x:c>
      <x:c r="E87" s="29" t="n">
        <x:v>4</x:v>
      </x:c>
      <x:c r="F87" s="29" t="n">
        <x:v>246</x:v>
      </x:c>
      <x:c r="G87" s="30" t="n">
        <x:f>C87/B87</x:f>
        <x:v>0.01171875</x:v>
      </x:c>
      <x:c r="H87" s="30" t="n">
        <x:f>D87/B87</x:f>
        <x:v>0.01171875</x:v>
      </x:c>
      <x:c r="I87" s="30" t="n">
        <x:f>E87/B87</x:f>
        <x:v>0.015625</x:v>
      </x:c>
      <x:c r="J87" s="30" t="n">
        <x:f>F87/B87</x:f>
        <x:v>0.9609375</x:v>
      </x:c>
      <x:c r="K87" s="30" t="n">
        <x:f>J87</x:f>
        <x:v>0.9609375</x:v>
      </x:c>
      <x:c r="L87" s="30" t="n">
        <x:f>0.5*(ABS(G87-0.0)+ABS(H87-0.0)+ABS(I87-0.0)+ABS(J87-1.0))</x:f>
        <x:v>0.0390625</x:v>
      </x:c>
    </x:row>
    <x:row r="88">
      <x:c r="A88" s="29" t="n">
        <x:v>85</x:v>
      </x:c>
      <x:c r="B88" s="29" t="n">
        <x:v>256</x:v>
      </x:c>
      <x:c r="C88" s="29" t="n">
        <x:v>3</x:v>
      </x:c>
      <x:c r="D88" s="29" t="n">
        <x:v>2</x:v>
      </x:c>
      <x:c r="E88" s="29" t="n">
        <x:v>1</x:v>
      </x:c>
      <x:c r="F88" s="29" t="n">
        <x:v>250</x:v>
      </x:c>
      <x:c r="G88" s="30" t="n">
        <x:f>C88/B88</x:f>
        <x:v>0.01171875</x:v>
      </x:c>
      <x:c r="H88" s="30" t="n">
        <x:f>D88/B88</x:f>
        <x:v>0.0078125</x:v>
      </x:c>
      <x:c r="I88" s="30" t="n">
        <x:f>E88/B88</x:f>
        <x:v>0.00390625</x:v>
      </x:c>
      <x:c r="J88" s="30" t="n">
        <x:f>F88/B88</x:f>
        <x:v>0.9765625</x:v>
      </x:c>
      <x:c r="K88" s="30" t="n">
        <x:f>J88</x:f>
        <x:v>0.9765625</x:v>
      </x:c>
      <x:c r="L88" s="30" t="n">
        <x:f>0.5*(ABS(G88-0.0)+ABS(H88-0.0)+ABS(I88-0.0)+ABS(J88-1.0))</x:f>
        <x:v>0.0234375</x:v>
      </x:c>
    </x:row>
    <x:row r="89">
      <x:c r="A89" s="29" t="n">
        <x:v>86</x:v>
      </x:c>
      <x:c r="B89" s="29" t="n">
        <x:v>256</x:v>
      </x:c>
      <x:c r="C89" s="29" t="n">
        <x:v>1</x:v>
      </x:c>
      <x:c r="D89" s="29" t="n">
        <x:v>2</x:v>
      </x:c>
      <x:c r="E89" s="29" t="n">
        <x:v>1</x:v>
      </x:c>
      <x:c r="F89" s="29" t="n">
        <x:v>252</x:v>
      </x:c>
      <x:c r="G89" s="30" t="n">
        <x:f>C89/B89</x:f>
        <x:v>0.00390625</x:v>
      </x:c>
      <x:c r="H89" s="30" t="n">
        <x:f>D89/B89</x:f>
        <x:v>0.0078125</x:v>
      </x:c>
      <x:c r="I89" s="30" t="n">
        <x:f>E89/B89</x:f>
        <x:v>0.00390625</x:v>
      </x:c>
      <x:c r="J89" s="30" t="n">
        <x:f>F89/B89</x:f>
        <x:v>0.984375</x:v>
      </x:c>
      <x:c r="K89" s="30" t="n">
        <x:f>J89</x:f>
        <x:v>0.984375</x:v>
      </x:c>
      <x:c r="L89" s="30" t="n">
        <x:f>0.5*(ABS(G89-0.0)+ABS(H89-0.0)+ABS(I89-0.0)+ABS(J89-1.0))</x:f>
        <x:v>0.015625</x:v>
      </x:c>
    </x:row>
    <x:row r="90">
      <x:c r="A90" s="29" t="n">
        <x:v>87</x:v>
      </x:c>
      <x:c r="B90" s="29" t="n">
        <x:v>256</x:v>
      </x:c>
      <x:c r="C90" s="29" t="n">
        <x:v>8</x:v>
      </x:c>
      <x:c r="D90" s="29" t="n">
        <x:v>2</x:v>
      </x:c>
      <x:c r="E90" s="29" t="n">
        <x:v>1</x:v>
      </x:c>
      <x:c r="F90" s="29" t="n">
        <x:v>245</x:v>
      </x:c>
      <x:c r="G90" s="30" t="n">
        <x:f>C90/B90</x:f>
        <x:v>0.03125</x:v>
      </x:c>
      <x:c r="H90" s="30" t="n">
        <x:f>D90/B90</x:f>
        <x:v>0.0078125</x:v>
      </x:c>
      <x:c r="I90" s="30" t="n">
        <x:f>E90/B90</x:f>
        <x:v>0.00390625</x:v>
      </x:c>
      <x:c r="J90" s="30" t="n">
        <x:f>F90/B90</x:f>
        <x:v>0.95703125</x:v>
      </x:c>
      <x:c r="K90" s="30" t="n">
        <x:f>J90</x:f>
        <x:v>0.95703125</x:v>
      </x:c>
      <x:c r="L90" s="30" t="n">
        <x:f>0.5*(ABS(G90-0.0)+ABS(H90-0.0)+ABS(I90-0.0)+ABS(J90-1.0))</x:f>
        <x:v>0.04296875</x:v>
      </x:c>
    </x:row>
    <x:row r="91">
      <x:c r="A91" s="29" t="n">
        <x:v>88</x:v>
      </x:c>
      <x:c r="B91" s="29" t="n">
        <x:v>256</x:v>
      </x:c>
      <x:c r="C91" s="29" t="n">
        <x:v>3</x:v>
      </x:c>
      <x:c r="D91" s="29" t="n">
        <x:v>5</x:v>
      </x:c>
      <x:c r="E91" s="29" t="n">
        <x:v>4</x:v>
      </x:c>
      <x:c r="F91" s="29" t="n">
        <x:v>244</x:v>
      </x:c>
      <x:c r="G91" s="30" t="n">
        <x:f>C91/B91</x:f>
        <x:v>0.01171875</x:v>
      </x:c>
      <x:c r="H91" s="30" t="n">
        <x:f>D91/B91</x:f>
        <x:v>0.01953125</x:v>
      </x:c>
      <x:c r="I91" s="30" t="n">
        <x:f>E91/B91</x:f>
        <x:v>0.015625</x:v>
      </x:c>
      <x:c r="J91" s="30" t="n">
        <x:f>F91/B91</x:f>
        <x:v>0.953125</x:v>
      </x:c>
      <x:c r="K91" s="30" t="n">
        <x:f>J91</x:f>
        <x:v>0.953125</x:v>
      </x:c>
      <x:c r="L91" s="30" t="n">
        <x:f>0.5*(ABS(G91-0.0)+ABS(H91-0.0)+ABS(I91-0.0)+ABS(J91-1.0))</x:f>
        <x:v>0.046875</x:v>
      </x:c>
    </x:row>
    <x:row r="92">
      <x:c r="A92" s="29" t="n">
        <x:v>89</x:v>
      </x:c>
      <x:c r="B92" s="29" t="n">
        <x:v>256</x:v>
      </x:c>
      <x:c r="C92" s="29" t="n">
        <x:v>5</x:v>
      </x:c>
      <x:c r="D92" s="29" t="n">
        <x:v>1</x:v>
      </x:c>
      <x:c r="E92" s="29" t="n">
        <x:v>6</x:v>
      </x:c>
      <x:c r="F92" s="29" t="n">
        <x:v>244</x:v>
      </x:c>
      <x:c r="G92" s="30" t="n">
        <x:f>C92/B92</x:f>
        <x:v>0.01953125</x:v>
      </x:c>
      <x:c r="H92" s="30" t="n">
        <x:f>D92/B92</x:f>
        <x:v>0.00390625</x:v>
      </x:c>
      <x:c r="I92" s="30" t="n">
        <x:f>E92/B92</x:f>
        <x:v>0.0234375</x:v>
      </x:c>
      <x:c r="J92" s="30" t="n">
        <x:f>F92/B92</x:f>
        <x:v>0.953125</x:v>
      </x:c>
      <x:c r="K92" s="30" t="n">
        <x:f>J92</x:f>
        <x:v>0.953125</x:v>
      </x:c>
      <x:c r="L92" s="30" t="n">
        <x:f>0.5*(ABS(G92-0.0)+ABS(H92-0.0)+ABS(I92-0.0)+ABS(J92-1.0))</x:f>
        <x:v>0.046875</x:v>
      </x:c>
    </x:row>
    <x:row r="93">
      <x:c r="A93" s="29" t="n">
        <x:v>90</x:v>
      </x:c>
      <x:c r="B93" s="29" t="n">
        <x:v>256</x:v>
      </x:c>
      <x:c r="C93" s="29" t="n">
        <x:v>3</x:v>
      </x:c>
      <x:c r="D93" s="29" t="n">
        <x:v>1</x:v>
      </x:c>
      <x:c r="E93" s="29" t="n">
        <x:v>5</x:v>
      </x:c>
      <x:c r="F93" s="29" t="n">
        <x:v>247</x:v>
      </x:c>
      <x:c r="G93" s="30" t="n">
        <x:f>C93/B93</x:f>
        <x:v>0.01171875</x:v>
      </x:c>
      <x:c r="H93" s="30" t="n">
        <x:f>D93/B93</x:f>
        <x:v>0.00390625</x:v>
      </x:c>
      <x:c r="I93" s="30" t="n">
        <x:f>E93/B93</x:f>
        <x:v>0.01953125</x:v>
      </x:c>
      <x:c r="J93" s="30" t="n">
        <x:f>F93/B93</x:f>
        <x:v>0.96484375</x:v>
      </x:c>
      <x:c r="K93" s="30" t="n">
        <x:f>J93</x:f>
        <x:v>0.96484375</x:v>
      </x:c>
      <x:c r="L93" s="30" t="n">
        <x:f>0.5*(ABS(G93-0.0)+ABS(H93-0.0)+ABS(I93-0.0)+ABS(J93-1.0))</x:f>
        <x:v>0.03515625</x:v>
      </x:c>
    </x:row>
    <x:row r="94">
      <x:c r="A94" s="29" t="n">
        <x:v>91</x:v>
      </x:c>
      <x:c r="B94" s="29" t="n">
        <x:v>256</x:v>
      </x:c>
      <x:c r="C94" s="29" t="n">
        <x:v>4</x:v>
      </x:c>
      <x:c r="D94" s="29" t="n">
        <x:v>3</x:v>
      </x:c>
      <x:c r="E94" s="29" t="n">
        <x:v>4</x:v>
      </x:c>
      <x:c r="F94" s="29" t="n">
        <x:v>245</x:v>
      </x:c>
      <x:c r="G94" s="30" t="n">
        <x:f>C94/B94</x:f>
        <x:v>0.015625</x:v>
      </x:c>
      <x:c r="H94" s="30" t="n">
        <x:f>D94/B94</x:f>
        <x:v>0.01171875</x:v>
      </x:c>
      <x:c r="I94" s="30" t="n">
        <x:f>E94/B94</x:f>
        <x:v>0.015625</x:v>
      </x:c>
      <x:c r="J94" s="30" t="n">
        <x:f>F94/B94</x:f>
        <x:v>0.95703125</x:v>
      </x:c>
      <x:c r="K94" s="30" t="n">
        <x:f>J94</x:f>
        <x:v>0.95703125</x:v>
      </x:c>
      <x:c r="L94" s="30" t="n">
        <x:f>0.5*(ABS(G94-0.0)+ABS(H94-0.0)+ABS(I94-0.0)+ABS(J94-1.0))</x:f>
        <x:v>0.04296875</x:v>
      </x:c>
    </x:row>
    <x:row r="95">
      <x:c r="A95" s="29" t="n">
        <x:v>92</x:v>
      </x:c>
      <x:c r="B95" s="29" t="n">
        <x:v>256</x:v>
      </x:c>
      <x:c r="C95" s="29" t="n">
        <x:v>2</x:v>
      </x:c>
      <x:c r="D95" s="29" t="n">
        <x:v>4</x:v>
      </x:c>
      <x:c r="E95" s="29" t="n">
        <x:v>3</x:v>
      </x:c>
      <x:c r="F95" s="29" t="n">
        <x:v>247</x:v>
      </x:c>
      <x:c r="G95" s="30" t="n">
        <x:f>C95/B95</x:f>
        <x:v>0.0078125</x:v>
      </x:c>
      <x:c r="H95" s="30" t="n">
        <x:f>D95/B95</x:f>
        <x:v>0.015625</x:v>
      </x:c>
      <x:c r="I95" s="30" t="n">
        <x:f>E95/B95</x:f>
        <x:v>0.01171875</x:v>
      </x:c>
      <x:c r="J95" s="30" t="n">
        <x:f>F95/B95</x:f>
        <x:v>0.96484375</x:v>
      </x:c>
      <x:c r="K95" s="30" t="n">
        <x:f>J95</x:f>
        <x:v>0.96484375</x:v>
      </x:c>
      <x:c r="L95" s="30" t="n">
        <x:f>0.5*(ABS(G95-0.0)+ABS(H95-0.0)+ABS(I95-0.0)+ABS(J95-1.0))</x:f>
        <x:v>0.03515625</x:v>
      </x:c>
    </x:row>
    <x:row r="96">
      <x:c r="A96" s="29" t="n">
        <x:v>93</x:v>
      </x:c>
      <x:c r="B96" s="29" t="n">
        <x:v>256</x:v>
      </x:c>
      <x:c r="C96" s="29" t="n">
        <x:v>4</x:v>
      </x:c>
      <x:c r="D96" s="29" t="n">
        <x:v>3</x:v>
      </x:c>
      <x:c r="E96" s="29" t="n">
        <x:v>1</x:v>
      </x:c>
      <x:c r="F96" s="29" t="n">
        <x:v>248</x:v>
      </x:c>
      <x:c r="G96" s="30" t="n">
        <x:f>C96/B96</x:f>
        <x:v>0.015625</x:v>
      </x:c>
      <x:c r="H96" s="30" t="n">
        <x:f>D96/B96</x:f>
        <x:v>0.01171875</x:v>
      </x:c>
      <x:c r="I96" s="30" t="n">
        <x:f>E96/B96</x:f>
        <x:v>0.00390625</x:v>
      </x:c>
      <x:c r="J96" s="30" t="n">
        <x:f>F96/B96</x:f>
        <x:v>0.96875</x:v>
      </x:c>
      <x:c r="K96" s="30" t="n">
        <x:f>J96</x:f>
        <x:v>0.96875</x:v>
      </x:c>
      <x:c r="L96" s="30" t="n">
        <x:f>0.5*(ABS(G96-0.0)+ABS(H96-0.0)+ABS(I96-0.0)+ABS(J96-1.0))</x:f>
        <x:v>0.03125</x:v>
      </x:c>
    </x:row>
    <x:row r="97">
      <x:c r="A97" s="29" t="n">
        <x:v>94</x:v>
      </x:c>
      <x:c r="B97" s="29" t="n">
        <x:v>256</x:v>
      </x:c>
      <x:c r="C97" s="29" t="n">
        <x:v>3</x:v>
      </x:c>
      <x:c r="D97" s="29" t="n">
        <x:v>1</x:v>
      </x:c>
      <x:c r="E97" s="29" t="n">
        <x:v>3</x:v>
      </x:c>
      <x:c r="F97" s="29" t="n">
        <x:v>249</x:v>
      </x:c>
      <x:c r="G97" s="30" t="n">
        <x:f>C97/B97</x:f>
        <x:v>0.01171875</x:v>
      </x:c>
      <x:c r="H97" s="30" t="n">
        <x:f>D97/B97</x:f>
        <x:v>0.00390625</x:v>
      </x:c>
      <x:c r="I97" s="30" t="n">
        <x:f>E97/B97</x:f>
        <x:v>0.01171875</x:v>
      </x:c>
      <x:c r="J97" s="30" t="n">
        <x:f>F97/B97</x:f>
        <x:v>0.97265625</x:v>
      </x:c>
      <x:c r="K97" s="30" t="n">
        <x:f>J97</x:f>
        <x:v>0.97265625</x:v>
      </x:c>
      <x:c r="L97" s="30" t="n">
        <x:f>0.5*(ABS(G97-0.0)+ABS(H97-0.0)+ABS(I97-0.0)+ABS(J97-1.0))</x:f>
        <x:v>0.02734375</x:v>
      </x:c>
    </x:row>
    <x:row r="98">
      <x:c r="A98" s="29" t="n">
        <x:v>95</x:v>
      </x:c>
      <x:c r="B98" s="29" t="n">
        <x:v>256</x:v>
      </x:c>
      <x:c r="C98" s="29" t="n">
        <x:v>2</x:v>
      </x:c>
      <x:c r="D98" s="29" t="n">
        <x:v>3</x:v>
      </x:c>
      <x:c r="E98" s="29" t="n">
        <x:v>1</x:v>
      </x:c>
      <x:c r="F98" s="29" t="n">
        <x:v>250</x:v>
      </x:c>
      <x:c r="G98" s="30" t="n">
        <x:f>C98/B98</x:f>
        <x:v>0.0078125</x:v>
      </x:c>
      <x:c r="H98" s="30" t="n">
        <x:f>D98/B98</x:f>
        <x:v>0.01171875</x:v>
      </x:c>
      <x:c r="I98" s="30" t="n">
        <x:f>E98/B98</x:f>
        <x:v>0.00390625</x:v>
      </x:c>
      <x:c r="J98" s="30" t="n">
        <x:f>F98/B98</x:f>
        <x:v>0.9765625</x:v>
      </x:c>
      <x:c r="K98" s="30" t="n">
        <x:f>J98</x:f>
        <x:v>0.9765625</x:v>
      </x:c>
      <x:c r="L98" s="30" t="n">
        <x:f>0.5*(ABS(G98-0.0)+ABS(H98-0.0)+ABS(I98-0.0)+ABS(J98-1.0))</x:f>
        <x:v>0.0234375</x:v>
      </x:c>
    </x:row>
    <x:row r="99">
      <x:c r="A99" s="29" t="n">
        <x:v>96</x:v>
      </x:c>
      <x:c r="B99" s="29" t="n">
        <x:v>256</x:v>
      </x:c>
      <x:c r="C99" s="29" t="n">
        <x:v>3</x:v>
      </x:c>
      <x:c r="D99" s="29" t="n">
        <x:v>4</x:v>
      </x:c>
      <x:c r="E99" s="29" t="n">
        <x:v>3</x:v>
      </x:c>
      <x:c r="F99" s="29" t="n">
        <x:v>246</x:v>
      </x:c>
      <x:c r="G99" s="30" t="n">
        <x:f>C99/B99</x:f>
        <x:v>0.01171875</x:v>
      </x:c>
      <x:c r="H99" s="30" t="n">
        <x:f>D99/B99</x:f>
        <x:v>0.015625</x:v>
      </x:c>
      <x:c r="I99" s="30" t="n">
        <x:f>E99/B99</x:f>
        <x:v>0.01171875</x:v>
      </x:c>
      <x:c r="J99" s="30" t="n">
        <x:f>F99/B99</x:f>
        <x:v>0.9609375</x:v>
      </x:c>
      <x:c r="K99" s="30" t="n">
        <x:f>J99</x:f>
        <x:v>0.9609375</x:v>
      </x:c>
      <x:c r="L99" s="30" t="n">
        <x:f>0.5*(ABS(G99-0.0)+ABS(H99-0.0)+ABS(I99-0.0)+ABS(J99-1.0))</x:f>
        <x:v>0.0390625</x:v>
      </x:c>
    </x:row>
    <x:row r="100">
      <x:c r="A100" s="29" t="n">
        <x:v>97</x:v>
      </x:c>
      <x:c r="B100" s="29" t="n">
        <x:v>256</x:v>
      </x:c>
      <x:c r="C100" s="29" t="n">
        <x:v>5</x:v>
      </x:c>
      <x:c r="D100" s="29" t="n">
        <x:v>1</x:v>
      </x:c>
      <x:c r="E100" s="29" t="n">
        <x:v>2</x:v>
      </x:c>
      <x:c r="F100" s="29" t="n">
        <x:v>248</x:v>
      </x:c>
      <x:c r="G100" s="30" t="n">
        <x:f>C100/B100</x:f>
        <x:v>0.01953125</x:v>
      </x:c>
      <x:c r="H100" s="30" t="n">
        <x:f>D100/B100</x:f>
        <x:v>0.00390625</x:v>
      </x:c>
      <x:c r="I100" s="30" t="n">
        <x:f>E100/B100</x:f>
        <x:v>0.0078125</x:v>
      </x:c>
      <x:c r="J100" s="30" t="n">
        <x:f>F100/B100</x:f>
        <x:v>0.96875</x:v>
      </x:c>
      <x:c r="K100" s="30" t="n">
        <x:f>J100</x:f>
        <x:v>0.96875</x:v>
      </x:c>
      <x:c r="L100" s="30" t="n">
        <x:f>0.5*(ABS(G100-0.0)+ABS(H100-0.0)+ABS(I100-0.0)+ABS(J100-1.0))</x:f>
        <x:v>0.03125</x:v>
      </x:c>
    </x:row>
    <x:row r="101">
      <x:c r="A101" s="29" t="n">
        <x:v>98</x:v>
      </x:c>
      <x:c r="B101" s="29" t="n">
        <x:v>256</x:v>
      </x:c>
      <x:c r="C101" s="29" t="n">
        <x:v>4</x:v>
      </x:c>
      <x:c r="D101" s="29" t="n">
        <x:v>3</x:v>
      </x:c>
      <x:c r="E101" s="29" t="n">
        <x:v>1</x:v>
      </x:c>
      <x:c r="F101" s="29" t="n">
        <x:v>248</x:v>
      </x:c>
      <x:c r="G101" s="30" t="n">
        <x:f>C101/B101</x:f>
        <x:v>0.015625</x:v>
      </x:c>
      <x:c r="H101" s="30" t="n">
        <x:f>D101/B101</x:f>
        <x:v>0.01171875</x:v>
      </x:c>
      <x:c r="I101" s="30" t="n">
        <x:f>E101/B101</x:f>
        <x:v>0.00390625</x:v>
      </x:c>
      <x:c r="J101" s="30" t="n">
        <x:f>F101/B101</x:f>
        <x:v>0.96875</x:v>
      </x:c>
      <x:c r="K101" s="30" t="n">
        <x:f>J101</x:f>
        <x:v>0.96875</x:v>
      </x:c>
      <x:c r="L101" s="30" t="n">
        <x:f>0.5*(ABS(G101-0.0)+ABS(H101-0.0)+ABS(I101-0.0)+ABS(J101-1.0))</x:f>
        <x:v>0.03125</x:v>
      </x:c>
    </x:row>
    <x:row r="102">
      <x:c r="A102" s="29" t="n">
        <x:v>99</x:v>
      </x:c>
      <x:c r="B102" s="29" t="n">
        <x:v>256</x:v>
      </x:c>
      <x:c r="C102" s="29" t="n">
        <x:v>5</x:v>
      </x:c>
      <x:c r="D102" s="29" t="n">
        <x:v>2</x:v>
      </x:c>
      <x:c r="E102" s="29" t="n">
        <x:v>4</x:v>
      </x:c>
      <x:c r="F102" s="29" t="n">
        <x:v>245</x:v>
      </x:c>
      <x:c r="G102" s="30" t="n">
        <x:f>C102/B102</x:f>
        <x:v>0.01953125</x:v>
      </x:c>
      <x:c r="H102" s="30" t="n">
        <x:f>D102/B102</x:f>
        <x:v>0.0078125</x:v>
      </x:c>
      <x:c r="I102" s="30" t="n">
        <x:f>E102/B102</x:f>
        <x:v>0.015625</x:v>
      </x:c>
      <x:c r="J102" s="30" t="n">
        <x:f>F102/B102</x:f>
        <x:v>0.95703125</x:v>
      </x:c>
      <x:c r="K102" s="30" t="n">
        <x:f>J102</x:f>
        <x:v>0.95703125</x:v>
      </x:c>
      <x:c r="L102" s="30" t="n">
        <x:f>0.5*(ABS(G102-0.0)+ABS(H102-0.0)+ABS(I102-0.0)+ABS(J102-1.0))</x:f>
        <x:v>0.04296875</x:v>
      </x:c>
    </x:row>
    <x:row r="103">
      <x:c r="A103" s="29" t="n">
        <x:v>100</x:v>
      </x:c>
      <x:c r="B103" s="29" t="n">
        <x:v>256</x:v>
      </x:c>
      <x:c r="C103" s="29" t="n">
        <x:v>2</x:v>
      </x:c>
      <x:c r="D103" s="29" t="n">
        <x:v>0</x:v>
      </x:c>
      <x:c r="E103" s="29" t="n">
        <x:v>6</x:v>
      </x:c>
      <x:c r="F103" s="29" t="n">
        <x:v>248</x:v>
      </x:c>
      <x:c r="G103" s="30" t="n">
        <x:f>C103/B103</x:f>
        <x:v>0.0078125</x:v>
      </x:c>
      <x:c r="H103" s="30" t="n">
        <x:f>D103/B103</x:f>
        <x:v>0</x:v>
      </x:c>
      <x:c r="I103" s="30" t="n">
        <x:f>E103/B103</x:f>
        <x:v>0.0234375</x:v>
      </x:c>
      <x:c r="J103" s="30" t="n">
        <x:f>F103/B103</x:f>
        <x:v>0.96875</x:v>
      </x:c>
      <x:c r="K103" s="30" t="n">
        <x:f>J103</x:f>
        <x:v>0.96875</x:v>
      </x:c>
      <x:c r="L103" s="30" t="n">
        <x:f>0.5*(ABS(G103-0.0)+ABS(H103-0.0)+ABS(I103-0.0)+ABS(J103-1.0))</x:f>
        <x:v>0.03125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Raw counts and derived probabilities: (iZ,I)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8" t="str">
        <x:v>run</x:v>
      </x:c>
      <x:c r="B3" s="28" t="str">
        <x:v>shots</x:v>
      </x:c>
      <x:c r="C3" s="28" t="str">
        <x:v>count_00</x:v>
      </x:c>
      <x:c r="D3" s="28" t="str">
        <x:v>count_01</x:v>
      </x:c>
      <x:c r="E3" s="28" t="str">
        <x:v>count_10</x:v>
      </x:c>
      <x:c r="F3" s="28" t="str">
        <x:v>count_11</x:v>
      </x:c>
      <x:c r="G3" s="28" t="str">
        <x:v>p00</x:v>
      </x:c>
      <x:c r="H3" s="28" t="str">
        <x:v>p01</x:v>
      </x:c>
      <x:c r="I3" s="28" t="str">
        <x:v>p10</x:v>
      </x:c>
      <x:c r="J3" s="28" t="str">
        <x:v>p11</x:v>
      </x:c>
      <x:c r="K3" s="28" t="str">
        <x:v>target_probability</x:v>
      </x:c>
      <x:c r="L3" s="28" t="str">
        <x:v>TVD</x:v>
      </x:c>
    </x:row>
    <x:row r="4">
      <x:c r="A4" s="29" t="n">
        <x:v>1</x:v>
      </x:c>
      <x:c r="B4" s="29" t="n">
        <x:v>256</x:v>
      </x:c>
      <x:c r="C4" s="29" t="n">
        <x:v>2</x:v>
      </x:c>
      <x:c r="D4" s="29" t="n">
        <x:v>7</x:v>
      </x:c>
      <x:c r="E4" s="29" t="n">
        <x:v>1</x:v>
      </x:c>
      <x:c r="F4" s="29" t="n">
        <x:v>246</x:v>
      </x:c>
      <x:c r="G4" s="30" t="n">
        <x:f>C4/B4</x:f>
        <x:v>0.0078125</x:v>
      </x:c>
      <x:c r="H4" s="30" t="n">
        <x:f>D4/B4</x:f>
        <x:v>0.02734375</x:v>
      </x:c>
      <x:c r="I4" s="30" t="n">
        <x:f>E4/B4</x:f>
        <x:v>0.00390625</x:v>
      </x:c>
      <x:c r="J4" s="30" t="n">
        <x:f>F4/B4</x:f>
        <x:v>0.9609375</x:v>
      </x:c>
      <x:c r="K4" s="30" t="n">
        <x:f>J4</x:f>
        <x:v>0.9609375</x:v>
      </x:c>
      <x:c r="L4" s="30" t="n">
        <x:f>0.5*(ABS(G4-0.0)+ABS(H4-0.0)+ABS(I4-0.0)+ABS(J4-1.0))</x:f>
        <x:v>0.0390625</x:v>
      </x:c>
    </x:row>
    <x:row r="5">
      <x:c r="A5" s="29" t="n">
        <x:v>2</x:v>
      </x:c>
      <x:c r="B5" s="29" t="n">
        <x:v>256</x:v>
      </x:c>
      <x:c r="C5" s="29" t="n">
        <x:v>1</x:v>
      </x:c>
      <x:c r="D5" s="29" t="n">
        <x:v>3</x:v>
      </x:c>
      <x:c r="E5" s="29" t="n">
        <x:v>5</x:v>
      </x:c>
      <x:c r="F5" s="29" t="n">
        <x:v>247</x:v>
      </x:c>
      <x:c r="G5" s="30" t="n">
        <x:f>C5/B5</x:f>
        <x:v>0.00390625</x:v>
      </x:c>
      <x:c r="H5" s="30" t="n">
        <x:f>D5/B5</x:f>
        <x:v>0.01171875</x:v>
      </x:c>
      <x:c r="I5" s="30" t="n">
        <x:f>E5/B5</x:f>
        <x:v>0.01953125</x:v>
      </x:c>
      <x:c r="J5" s="30" t="n">
        <x:f>F5/B5</x:f>
        <x:v>0.96484375</x:v>
      </x:c>
      <x:c r="K5" s="30" t="n">
        <x:f>J5</x:f>
        <x:v>0.96484375</x:v>
      </x:c>
      <x:c r="L5" s="30" t="n">
        <x:f>0.5*(ABS(G5-0.0)+ABS(H5-0.0)+ABS(I5-0.0)+ABS(J5-1.0))</x:f>
        <x:v>0.03515625</x:v>
      </x:c>
    </x:row>
    <x:row r="6">
      <x:c r="A6" s="29" t="n">
        <x:v>3</x:v>
      </x:c>
      <x:c r="B6" s="29" t="n">
        <x:v>256</x:v>
      </x:c>
      <x:c r="C6" s="29" t="n">
        <x:v>0</x:v>
      </x:c>
      <x:c r="D6" s="29" t="n">
        <x:v>0</x:v>
      </x:c>
      <x:c r="E6" s="29" t="n">
        <x:v>4</x:v>
      </x:c>
      <x:c r="F6" s="29" t="n">
        <x:v>252</x:v>
      </x:c>
      <x:c r="G6" s="30" t="n">
        <x:f>C6/B6</x:f>
        <x:v>0</x:v>
      </x:c>
      <x:c r="H6" s="30" t="n">
        <x:f>D6/B6</x:f>
        <x:v>0</x:v>
      </x:c>
      <x:c r="I6" s="30" t="n">
        <x:f>E6/B6</x:f>
        <x:v>0.015625</x:v>
      </x:c>
      <x:c r="J6" s="30" t="n">
        <x:f>F6/B6</x:f>
        <x:v>0.984375</x:v>
      </x:c>
      <x:c r="K6" s="30" t="n">
        <x:f>J6</x:f>
        <x:v>0.984375</x:v>
      </x:c>
      <x:c r="L6" s="30" t="n">
        <x:f>0.5*(ABS(G6-0.0)+ABS(H6-0.0)+ABS(I6-0.0)+ABS(J6-1.0))</x:f>
        <x:v>0.015625</x:v>
      </x:c>
    </x:row>
    <x:row r="7">
      <x:c r="A7" s="29" t="n">
        <x:v>4</x:v>
      </x:c>
      <x:c r="B7" s="29" t="n">
        <x:v>256</x:v>
      </x:c>
      <x:c r="C7" s="29" t="n">
        <x:v>2</x:v>
      </x:c>
      <x:c r="D7" s="29" t="n">
        <x:v>7</x:v>
      </x:c>
      <x:c r="E7" s="29" t="n">
        <x:v>9</x:v>
      </x:c>
      <x:c r="F7" s="29" t="n">
        <x:v>238</x:v>
      </x:c>
      <x:c r="G7" s="30" t="n">
        <x:f>C7/B7</x:f>
        <x:v>0.0078125</x:v>
      </x:c>
      <x:c r="H7" s="30" t="n">
        <x:f>D7/B7</x:f>
        <x:v>0.02734375</x:v>
      </x:c>
      <x:c r="I7" s="30" t="n">
        <x:f>E7/B7</x:f>
        <x:v>0.03515625</x:v>
      </x:c>
      <x:c r="J7" s="30" t="n">
        <x:f>F7/B7</x:f>
        <x:v>0.9296875</x:v>
      </x:c>
      <x:c r="K7" s="30" t="n">
        <x:f>J7</x:f>
        <x:v>0.9296875</x:v>
      </x:c>
      <x:c r="L7" s="30" t="n">
        <x:f>0.5*(ABS(G7-0.0)+ABS(H7-0.0)+ABS(I7-0.0)+ABS(J7-1.0))</x:f>
        <x:v>0.0703125</x:v>
      </x:c>
    </x:row>
    <x:row r="8">
      <x:c r="A8" s="29" t="n">
        <x:v>5</x:v>
      </x:c>
      <x:c r="B8" s="29" t="n">
        <x:v>256</x:v>
      </x:c>
      <x:c r="C8" s="29" t="n">
        <x:v>0</x:v>
      </x:c>
      <x:c r="D8" s="29" t="n">
        <x:v>2</x:v>
      </x:c>
      <x:c r="E8" s="29" t="n">
        <x:v>5</x:v>
      </x:c>
      <x:c r="F8" s="29" t="n">
        <x:v>249</x:v>
      </x:c>
      <x:c r="G8" s="30" t="n">
        <x:f>C8/B8</x:f>
        <x:v>0</x:v>
      </x:c>
      <x:c r="H8" s="30" t="n">
        <x:f>D8/B8</x:f>
        <x:v>0.0078125</x:v>
      </x:c>
      <x:c r="I8" s="30" t="n">
        <x:f>E8/B8</x:f>
        <x:v>0.01953125</x:v>
      </x:c>
      <x:c r="J8" s="30" t="n">
        <x:f>F8/B8</x:f>
        <x:v>0.97265625</x:v>
      </x:c>
      <x:c r="K8" s="30" t="n">
        <x:f>J8</x:f>
        <x:v>0.97265625</x:v>
      </x:c>
      <x:c r="L8" s="30" t="n">
        <x:f>0.5*(ABS(G8-0.0)+ABS(H8-0.0)+ABS(I8-0.0)+ABS(J8-1.0))</x:f>
        <x:v>0.02734375</x:v>
      </x:c>
    </x:row>
    <x:row r="9">
      <x:c r="A9" s="29" t="n">
        <x:v>6</x:v>
      </x:c>
      <x:c r="B9" s="29" t="n">
        <x:v>256</x:v>
      </x:c>
      <x:c r="C9" s="29" t="n">
        <x:v>0</x:v>
      </x:c>
      <x:c r="D9" s="29" t="n">
        <x:v>4</x:v>
      </x:c>
      <x:c r="E9" s="29" t="n">
        <x:v>5</x:v>
      </x:c>
      <x:c r="F9" s="29" t="n">
        <x:v>247</x:v>
      </x:c>
      <x:c r="G9" s="30" t="n">
        <x:f>C9/B9</x:f>
        <x:v>0</x:v>
      </x:c>
      <x:c r="H9" s="30" t="n">
        <x:f>D9/B9</x:f>
        <x:v>0.015625</x:v>
      </x:c>
      <x:c r="I9" s="30" t="n">
        <x:f>E9/B9</x:f>
        <x:v>0.01953125</x:v>
      </x:c>
      <x:c r="J9" s="30" t="n">
        <x:f>F9/B9</x:f>
        <x:v>0.96484375</x:v>
      </x:c>
      <x:c r="K9" s="30" t="n">
        <x:f>J9</x:f>
        <x:v>0.96484375</x:v>
      </x:c>
      <x:c r="L9" s="30" t="n">
        <x:f>0.5*(ABS(G9-0.0)+ABS(H9-0.0)+ABS(I9-0.0)+ABS(J9-1.0))</x:f>
        <x:v>0.03515625</x:v>
      </x:c>
    </x:row>
    <x:row r="10">
      <x:c r="A10" s="29" t="n">
        <x:v>7</x:v>
      </x:c>
      <x:c r="B10" s="29" t="n">
        <x:v>256</x:v>
      </x:c>
      <x:c r="C10" s="29" t="n">
        <x:v>1</x:v>
      </x:c>
      <x:c r="D10" s="29" t="n">
        <x:v>3</x:v>
      </x:c>
      <x:c r="E10" s="29" t="n">
        <x:v>2</x:v>
      </x:c>
      <x:c r="F10" s="29" t="n">
        <x:v>250</x:v>
      </x:c>
      <x:c r="G10" s="30" t="n">
        <x:f>C10/B10</x:f>
        <x:v>0.00390625</x:v>
      </x:c>
      <x:c r="H10" s="30" t="n">
        <x:f>D10/B10</x:f>
        <x:v>0.01171875</x:v>
      </x:c>
      <x:c r="I10" s="30" t="n">
        <x:f>E10/B10</x:f>
        <x:v>0.0078125</x:v>
      </x:c>
      <x:c r="J10" s="30" t="n">
        <x:f>F10/B10</x:f>
        <x:v>0.9765625</x:v>
      </x:c>
      <x:c r="K10" s="30" t="n">
        <x:f>J10</x:f>
        <x:v>0.9765625</x:v>
      </x:c>
      <x:c r="L10" s="30" t="n">
        <x:f>0.5*(ABS(G10-0.0)+ABS(H10-0.0)+ABS(I10-0.0)+ABS(J10-1.0))</x:f>
        <x:v>0.0234375</x:v>
      </x:c>
    </x:row>
    <x:row r="11">
      <x:c r="A11" s="29" t="n">
        <x:v>8</x:v>
      </x:c>
      <x:c r="B11" s="29" t="n">
        <x:v>256</x:v>
      </x:c>
      <x:c r="C11" s="29" t="n">
        <x:v>0</x:v>
      </x:c>
      <x:c r="D11" s="29" t="n">
        <x:v>6</x:v>
      </x:c>
      <x:c r="E11" s="29" t="n">
        <x:v>9</x:v>
      </x:c>
      <x:c r="F11" s="29" t="n">
        <x:v>241</x:v>
      </x:c>
      <x:c r="G11" s="30" t="n">
        <x:f>C11/B11</x:f>
        <x:v>0</x:v>
      </x:c>
      <x:c r="H11" s="30" t="n">
        <x:f>D11/B11</x:f>
        <x:v>0.0234375</x:v>
      </x:c>
      <x:c r="I11" s="30" t="n">
        <x:f>E11/B11</x:f>
        <x:v>0.03515625</x:v>
      </x:c>
      <x:c r="J11" s="30" t="n">
        <x:f>F11/B11</x:f>
        <x:v>0.94140625</x:v>
      </x:c>
      <x:c r="K11" s="30" t="n">
        <x:f>J11</x:f>
        <x:v>0.94140625</x:v>
      </x:c>
      <x:c r="L11" s="30" t="n">
        <x:f>0.5*(ABS(G11-0.0)+ABS(H11-0.0)+ABS(I11-0.0)+ABS(J11-1.0))</x:f>
        <x:v>0.05859375</x:v>
      </x:c>
    </x:row>
    <x:row r="12">
      <x:c r="A12" s="29" t="n">
        <x:v>9</x:v>
      </x:c>
      <x:c r="B12" s="29" t="n">
        <x:v>256</x:v>
      </x:c>
      <x:c r="C12" s="29" t="n">
        <x:v>1</x:v>
      </x:c>
      <x:c r="D12" s="29" t="n">
        <x:v>4</x:v>
      </x:c>
      <x:c r="E12" s="29" t="n">
        <x:v>5</x:v>
      </x:c>
      <x:c r="F12" s="29" t="n">
        <x:v>246</x:v>
      </x:c>
      <x:c r="G12" s="30" t="n">
        <x:f>C12/B12</x:f>
        <x:v>0.00390625</x:v>
      </x:c>
      <x:c r="H12" s="30" t="n">
        <x:f>D12/B12</x:f>
        <x:v>0.015625</x:v>
      </x:c>
      <x:c r="I12" s="30" t="n">
        <x:f>E12/B12</x:f>
        <x:v>0.01953125</x:v>
      </x:c>
      <x:c r="J12" s="30" t="n">
        <x:f>F12/B12</x:f>
        <x:v>0.9609375</x:v>
      </x:c>
      <x:c r="K12" s="30" t="n">
        <x:f>J12</x:f>
        <x:v>0.9609375</x:v>
      </x:c>
      <x:c r="L12" s="30" t="n">
        <x:f>0.5*(ABS(G12-0.0)+ABS(H12-0.0)+ABS(I12-0.0)+ABS(J12-1.0))</x:f>
        <x:v>0.0390625</x:v>
      </x:c>
    </x:row>
    <x:row r="13">
      <x:c r="A13" s="29" t="n">
        <x:v>10</x:v>
      </x:c>
      <x:c r="B13" s="29" t="n">
        <x:v>256</x:v>
      </x:c>
      <x:c r="C13" s="29" t="n">
        <x:v>0</x:v>
      </x:c>
      <x:c r="D13" s="29" t="n">
        <x:v>7</x:v>
      </x:c>
      <x:c r="E13" s="29" t="n">
        <x:v>9</x:v>
      </x:c>
      <x:c r="F13" s="29" t="n">
        <x:v>240</x:v>
      </x:c>
      <x:c r="G13" s="30" t="n">
        <x:f>C13/B13</x:f>
        <x:v>0</x:v>
      </x:c>
      <x:c r="H13" s="30" t="n">
        <x:f>D13/B13</x:f>
        <x:v>0.02734375</x:v>
      </x:c>
      <x:c r="I13" s="30" t="n">
        <x:f>E13/B13</x:f>
        <x:v>0.03515625</x:v>
      </x:c>
      <x:c r="J13" s="30" t="n">
        <x:f>F13/B13</x:f>
        <x:v>0.9375</x:v>
      </x:c>
      <x:c r="K13" s="30" t="n">
        <x:f>J13</x:f>
        <x:v>0.9375</x:v>
      </x:c>
      <x:c r="L13" s="30" t="n">
        <x:f>0.5*(ABS(G13-0.0)+ABS(H13-0.0)+ABS(I13-0.0)+ABS(J13-1.0))</x:f>
        <x:v>0.0625</x:v>
      </x:c>
    </x:row>
    <x:row r="14">
      <x:c r="A14" s="29" t="n">
        <x:v>11</x:v>
      </x:c>
      <x:c r="B14" s="29" t="n">
        <x:v>256</x:v>
      </x:c>
      <x:c r="C14" s="29" t="n">
        <x:v>2</x:v>
      </x:c>
      <x:c r="D14" s="29" t="n">
        <x:v>6</x:v>
      </x:c>
      <x:c r="E14" s="29" t="n">
        <x:v>1</x:v>
      </x:c>
      <x:c r="F14" s="29" t="n">
        <x:v>247</x:v>
      </x:c>
      <x:c r="G14" s="30" t="n">
        <x:f>C14/B14</x:f>
        <x:v>0.0078125</x:v>
      </x:c>
      <x:c r="H14" s="30" t="n">
        <x:f>D14/B14</x:f>
        <x:v>0.0234375</x:v>
      </x:c>
      <x:c r="I14" s="30" t="n">
        <x:f>E14/B14</x:f>
        <x:v>0.00390625</x:v>
      </x:c>
      <x:c r="J14" s="30" t="n">
        <x:f>F14/B14</x:f>
        <x:v>0.96484375</x:v>
      </x:c>
      <x:c r="K14" s="30" t="n">
        <x:f>J14</x:f>
        <x:v>0.96484375</x:v>
      </x:c>
      <x:c r="L14" s="30" t="n">
        <x:f>0.5*(ABS(G14-0.0)+ABS(H14-0.0)+ABS(I14-0.0)+ABS(J14-1.0))</x:f>
        <x:v>0.03515625</x:v>
      </x:c>
    </x:row>
    <x:row r="15">
      <x:c r="A15" s="29" t="n">
        <x:v>12</x:v>
      </x:c>
      <x:c r="B15" s="29" t="n">
        <x:v>256</x:v>
      </x:c>
      <x:c r="C15" s="29" t="n">
        <x:v>1</x:v>
      </x:c>
      <x:c r="D15" s="29" t="n">
        <x:v>4</x:v>
      </x:c>
      <x:c r="E15" s="29" t="n">
        <x:v>3</x:v>
      </x:c>
      <x:c r="F15" s="29" t="n">
        <x:v>248</x:v>
      </x:c>
      <x:c r="G15" s="30" t="n">
        <x:f>C15/B15</x:f>
        <x:v>0.00390625</x:v>
      </x:c>
      <x:c r="H15" s="30" t="n">
        <x:f>D15/B15</x:f>
        <x:v>0.015625</x:v>
      </x:c>
      <x:c r="I15" s="30" t="n">
        <x:f>E15/B15</x:f>
        <x:v>0.01171875</x:v>
      </x:c>
      <x:c r="J15" s="30" t="n">
        <x:f>F15/B15</x:f>
        <x:v>0.96875</x:v>
      </x:c>
      <x:c r="K15" s="30" t="n">
        <x:f>J15</x:f>
        <x:v>0.96875</x:v>
      </x:c>
      <x:c r="L15" s="30" t="n">
        <x:f>0.5*(ABS(G15-0.0)+ABS(H15-0.0)+ABS(I15-0.0)+ABS(J15-1.0))</x:f>
        <x:v>0.03125</x:v>
      </x:c>
    </x:row>
    <x:row r="16">
      <x:c r="A16" s="29" t="n">
        <x:v>13</x:v>
      </x:c>
      <x:c r="B16" s="29" t="n">
        <x:v>256</x:v>
      </x:c>
      <x:c r="C16" s="29" t="n">
        <x:v>1</x:v>
      </x:c>
      <x:c r="D16" s="29" t="n">
        <x:v>5</x:v>
      </x:c>
      <x:c r="E16" s="29" t="n">
        <x:v>7</x:v>
      </x:c>
      <x:c r="F16" s="29" t="n">
        <x:v>243</x:v>
      </x:c>
      <x:c r="G16" s="30" t="n">
        <x:f>C16/B16</x:f>
        <x:v>0.00390625</x:v>
      </x:c>
      <x:c r="H16" s="30" t="n">
        <x:f>D16/B16</x:f>
        <x:v>0.01953125</x:v>
      </x:c>
      <x:c r="I16" s="30" t="n">
        <x:f>E16/B16</x:f>
        <x:v>0.02734375</x:v>
      </x:c>
      <x:c r="J16" s="30" t="n">
        <x:f>F16/B16</x:f>
        <x:v>0.94921875</x:v>
      </x:c>
      <x:c r="K16" s="30" t="n">
        <x:f>J16</x:f>
        <x:v>0.94921875</x:v>
      </x:c>
      <x:c r="L16" s="30" t="n">
        <x:f>0.5*(ABS(G16-0.0)+ABS(H16-0.0)+ABS(I16-0.0)+ABS(J16-1.0))</x:f>
        <x:v>0.05078125</x:v>
      </x:c>
    </x:row>
    <x:row r="17">
      <x:c r="A17" s="29" t="n">
        <x:v>14</x:v>
      </x:c>
      <x:c r="B17" s="29" t="n">
        <x:v>256</x:v>
      </x:c>
      <x:c r="C17" s="29" t="n">
        <x:v>2</x:v>
      </x:c>
      <x:c r="D17" s="29" t="n">
        <x:v>2</x:v>
      </x:c>
      <x:c r="E17" s="29" t="n">
        <x:v>2</x:v>
      </x:c>
      <x:c r="F17" s="29" t="n">
        <x:v>250</x:v>
      </x:c>
      <x:c r="G17" s="30" t="n">
        <x:f>C17/B17</x:f>
        <x:v>0.0078125</x:v>
      </x:c>
      <x:c r="H17" s="30" t="n">
        <x:f>D17/B17</x:f>
        <x:v>0.0078125</x:v>
      </x:c>
      <x:c r="I17" s="30" t="n">
        <x:f>E17/B17</x:f>
        <x:v>0.0078125</x:v>
      </x:c>
      <x:c r="J17" s="30" t="n">
        <x:f>F17/B17</x:f>
        <x:v>0.9765625</x:v>
      </x:c>
      <x:c r="K17" s="30" t="n">
        <x:f>J17</x:f>
        <x:v>0.9765625</x:v>
      </x:c>
      <x:c r="L17" s="30" t="n">
        <x:f>0.5*(ABS(G17-0.0)+ABS(H17-0.0)+ABS(I17-0.0)+ABS(J17-1.0))</x:f>
        <x:v>0.0234375</x:v>
      </x:c>
    </x:row>
    <x:row r="18">
      <x:c r="A18" s="29" t="n">
        <x:v>15</x:v>
      </x:c>
      <x:c r="B18" s="29" t="n">
        <x:v>256</x:v>
      </x:c>
      <x:c r="C18" s="29" t="n">
        <x:v>0</x:v>
      </x:c>
      <x:c r="D18" s="29" t="n">
        <x:v>4</x:v>
      </x:c>
      <x:c r="E18" s="29" t="n">
        <x:v>3</x:v>
      </x:c>
      <x:c r="F18" s="29" t="n">
        <x:v>249</x:v>
      </x:c>
      <x:c r="G18" s="30" t="n">
        <x:f>C18/B18</x:f>
        <x:v>0</x:v>
      </x:c>
      <x:c r="H18" s="30" t="n">
        <x:f>D18/B18</x:f>
        <x:v>0.015625</x:v>
      </x:c>
      <x:c r="I18" s="30" t="n">
        <x:f>E18/B18</x:f>
        <x:v>0.01171875</x:v>
      </x:c>
      <x:c r="J18" s="30" t="n">
        <x:f>F18/B18</x:f>
        <x:v>0.97265625</x:v>
      </x:c>
      <x:c r="K18" s="30" t="n">
        <x:f>J18</x:f>
        <x:v>0.97265625</x:v>
      </x:c>
      <x:c r="L18" s="30" t="n">
        <x:f>0.5*(ABS(G18-0.0)+ABS(H18-0.0)+ABS(I18-0.0)+ABS(J18-1.0))</x:f>
        <x:v>0.02734375</x:v>
      </x:c>
    </x:row>
    <x:row r="19">
      <x:c r="A19" s="29" t="n">
        <x:v>16</x:v>
      </x:c>
      <x:c r="B19" s="29" t="n">
        <x:v>256</x:v>
      </x:c>
      <x:c r="C19" s="29" t="n">
        <x:v>2</x:v>
      </x:c>
      <x:c r="D19" s="29" t="n">
        <x:v>5</x:v>
      </x:c>
      <x:c r="E19" s="29" t="n">
        <x:v>5</x:v>
      </x:c>
      <x:c r="F19" s="29" t="n">
        <x:v>244</x:v>
      </x:c>
      <x:c r="G19" s="30" t="n">
        <x:f>C19/B19</x:f>
        <x:v>0.0078125</x:v>
      </x:c>
      <x:c r="H19" s="30" t="n">
        <x:f>D19/B19</x:f>
        <x:v>0.01953125</x:v>
      </x:c>
      <x:c r="I19" s="30" t="n">
        <x:f>E19/B19</x:f>
        <x:v>0.01953125</x:v>
      </x:c>
      <x:c r="J19" s="30" t="n">
        <x:f>F19/B19</x:f>
        <x:v>0.953125</x:v>
      </x:c>
      <x:c r="K19" s="30" t="n">
        <x:f>J19</x:f>
        <x:v>0.953125</x:v>
      </x:c>
      <x:c r="L19" s="30" t="n">
        <x:f>0.5*(ABS(G19-0.0)+ABS(H19-0.0)+ABS(I19-0.0)+ABS(J19-1.0))</x:f>
        <x:v>0.046875</x:v>
      </x:c>
    </x:row>
    <x:row r="20">
      <x:c r="A20" s="29" t="n">
        <x:v>17</x:v>
      </x:c>
      <x:c r="B20" s="29" t="n">
        <x:v>256</x:v>
      </x:c>
      <x:c r="C20" s="29" t="n">
        <x:v>0</x:v>
      </x:c>
      <x:c r="D20" s="29" t="n">
        <x:v>8</x:v>
      </x:c>
      <x:c r="E20" s="29" t="n">
        <x:v>2</x:v>
      </x:c>
      <x:c r="F20" s="29" t="n">
        <x:v>246</x:v>
      </x:c>
      <x:c r="G20" s="30" t="n">
        <x:f>C20/B20</x:f>
        <x:v>0</x:v>
      </x:c>
      <x:c r="H20" s="30" t="n">
        <x:f>D20/B20</x:f>
        <x:v>0.03125</x:v>
      </x:c>
      <x:c r="I20" s="30" t="n">
        <x:f>E20/B20</x:f>
        <x:v>0.0078125</x:v>
      </x:c>
      <x:c r="J20" s="30" t="n">
        <x:f>F20/B20</x:f>
        <x:v>0.9609375</x:v>
      </x:c>
      <x:c r="K20" s="30" t="n">
        <x:f>J20</x:f>
        <x:v>0.9609375</x:v>
      </x:c>
      <x:c r="L20" s="30" t="n">
        <x:f>0.5*(ABS(G20-0.0)+ABS(H20-0.0)+ABS(I20-0.0)+ABS(J20-1.0))</x:f>
        <x:v>0.0390625</x:v>
      </x:c>
    </x:row>
    <x:row r="21">
      <x:c r="A21" s="29" t="n">
        <x:v>18</x:v>
      </x:c>
      <x:c r="B21" s="29" t="n">
        <x:v>256</x:v>
      </x:c>
      <x:c r="C21" s="29" t="n">
        <x:v>1</x:v>
      </x:c>
      <x:c r="D21" s="29" t="n">
        <x:v>4</x:v>
      </x:c>
      <x:c r="E21" s="29" t="n">
        <x:v>2</x:v>
      </x:c>
      <x:c r="F21" s="29" t="n">
        <x:v>249</x:v>
      </x:c>
      <x:c r="G21" s="30" t="n">
        <x:f>C21/B21</x:f>
        <x:v>0.00390625</x:v>
      </x:c>
      <x:c r="H21" s="30" t="n">
        <x:f>D21/B21</x:f>
        <x:v>0.015625</x:v>
      </x:c>
      <x:c r="I21" s="30" t="n">
        <x:f>E21/B21</x:f>
        <x:v>0.0078125</x:v>
      </x:c>
      <x:c r="J21" s="30" t="n">
        <x:f>F21/B21</x:f>
        <x:v>0.97265625</x:v>
      </x:c>
      <x:c r="K21" s="30" t="n">
        <x:f>J21</x:f>
        <x:v>0.97265625</x:v>
      </x:c>
      <x:c r="L21" s="30" t="n">
        <x:f>0.5*(ABS(G21-0.0)+ABS(H21-0.0)+ABS(I21-0.0)+ABS(J21-1.0))</x:f>
        <x:v>0.02734375</x:v>
      </x:c>
    </x:row>
    <x:row r="22">
      <x:c r="A22" s="29" t="n">
        <x:v>19</x:v>
      </x:c>
      <x:c r="B22" s="29" t="n">
        <x:v>256</x:v>
      </x:c>
      <x:c r="C22" s="29" t="n">
        <x:v>1</x:v>
      </x:c>
      <x:c r="D22" s="29" t="n">
        <x:v>2</x:v>
      </x:c>
      <x:c r="E22" s="29" t="n">
        <x:v>6</x:v>
      </x:c>
      <x:c r="F22" s="29" t="n">
        <x:v>247</x:v>
      </x:c>
      <x:c r="G22" s="30" t="n">
        <x:f>C22/B22</x:f>
        <x:v>0.00390625</x:v>
      </x:c>
      <x:c r="H22" s="30" t="n">
        <x:f>D22/B22</x:f>
        <x:v>0.0078125</x:v>
      </x:c>
      <x:c r="I22" s="30" t="n">
        <x:f>E22/B22</x:f>
        <x:v>0.0234375</x:v>
      </x:c>
      <x:c r="J22" s="30" t="n">
        <x:f>F22/B22</x:f>
        <x:v>0.96484375</x:v>
      </x:c>
      <x:c r="K22" s="30" t="n">
        <x:f>J22</x:f>
        <x:v>0.96484375</x:v>
      </x:c>
      <x:c r="L22" s="30" t="n">
        <x:f>0.5*(ABS(G22-0.0)+ABS(H22-0.0)+ABS(I22-0.0)+ABS(J22-1.0))</x:f>
        <x:v>0.03515625</x:v>
      </x:c>
    </x:row>
    <x:row r="23">
      <x:c r="A23" s="29" t="n">
        <x:v>20</x:v>
      </x:c>
      <x:c r="B23" s="29" t="n">
        <x:v>256</x:v>
      </x:c>
      <x:c r="C23" s="29" t="n">
        <x:v>1</x:v>
      </x:c>
      <x:c r="D23" s="29" t="n">
        <x:v>3</x:v>
      </x:c>
      <x:c r="E23" s="29" t="n">
        <x:v>6</x:v>
      </x:c>
      <x:c r="F23" s="29" t="n">
        <x:v>246</x:v>
      </x:c>
      <x:c r="G23" s="30" t="n">
        <x:f>C23/B23</x:f>
        <x:v>0.00390625</x:v>
      </x:c>
      <x:c r="H23" s="30" t="n">
        <x:f>D23/B23</x:f>
        <x:v>0.01171875</x:v>
      </x:c>
      <x:c r="I23" s="30" t="n">
        <x:f>E23/B23</x:f>
        <x:v>0.0234375</x:v>
      </x:c>
      <x:c r="J23" s="30" t="n">
        <x:f>F23/B23</x:f>
        <x:v>0.9609375</x:v>
      </x:c>
      <x:c r="K23" s="30" t="n">
        <x:f>J23</x:f>
        <x:v>0.9609375</x:v>
      </x:c>
      <x:c r="L23" s="30" t="n">
        <x:f>0.5*(ABS(G23-0.0)+ABS(H23-0.0)+ABS(I23-0.0)+ABS(J23-1.0))</x:f>
        <x:v>0.0390625</x:v>
      </x:c>
    </x:row>
    <x:row r="24">
      <x:c r="A24" s="29" t="n">
        <x:v>21</x:v>
      </x:c>
      <x:c r="B24" s="29" t="n">
        <x:v>256</x:v>
      </x:c>
      <x:c r="C24" s="29" t="n">
        <x:v>0</x:v>
      </x:c>
      <x:c r="D24" s="29" t="n">
        <x:v>4</x:v>
      </x:c>
      <x:c r="E24" s="29" t="n">
        <x:v>0</x:v>
      </x:c>
      <x:c r="F24" s="29" t="n">
        <x:v>252</x:v>
      </x:c>
      <x:c r="G24" s="30" t="n">
        <x:f>C24/B24</x:f>
        <x:v>0</x:v>
      </x:c>
      <x:c r="H24" s="30" t="n">
        <x:f>D24/B24</x:f>
        <x:v>0.015625</x:v>
      </x:c>
      <x:c r="I24" s="30" t="n">
        <x:f>E24/B24</x:f>
        <x:v>0</x:v>
      </x:c>
      <x:c r="J24" s="30" t="n">
        <x:f>F24/B24</x:f>
        <x:v>0.984375</x:v>
      </x:c>
      <x:c r="K24" s="30" t="n">
        <x:f>J24</x:f>
        <x:v>0.984375</x:v>
      </x:c>
      <x:c r="L24" s="30" t="n">
        <x:f>0.5*(ABS(G24-0.0)+ABS(H24-0.0)+ABS(I24-0.0)+ABS(J24-1.0))</x:f>
        <x:v>0.015625</x:v>
      </x:c>
    </x:row>
    <x:row r="25">
      <x:c r="A25" s="29" t="n">
        <x:v>22</x:v>
      </x:c>
      <x:c r="B25" s="29" t="n">
        <x:v>256</x:v>
      </x:c>
      <x:c r="C25" s="29" t="n">
        <x:v>0</x:v>
      </x:c>
      <x:c r="D25" s="29" t="n">
        <x:v>5</x:v>
      </x:c>
      <x:c r="E25" s="29" t="n">
        <x:v>3</x:v>
      </x:c>
      <x:c r="F25" s="29" t="n">
        <x:v>248</x:v>
      </x:c>
      <x:c r="G25" s="30" t="n">
        <x:f>C25/B25</x:f>
        <x:v>0</x:v>
      </x:c>
      <x:c r="H25" s="30" t="n">
        <x:f>D25/B25</x:f>
        <x:v>0.01953125</x:v>
      </x:c>
      <x:c r="I25" s="30" t="n">
        <x:f>E25/B25</x:f>
        <x:v>0.01171875</x:v>
      </x:c>
      <x:c r="J25" s="30" t="n">
        <x:f>F25/B25</x:f>
        <x:v>0.96875</x:v>
      </x:c>
      <x:c r="K25" s="30" t="n">
        <x:f>J25</x:f>
        <x:v>0.96875</x:v>
      </x:c>
      <x:c r="L25" s="30" t="n">
        <x:f>0.5*(ABS(G25-0.0)+ABS(H25-0.0)+ABS(I25-0.0)+ABS(J25-1.0))</x:f>
        <x:v>0.03125</x:v>
      </x:c>
    </x:row>
    <x:row r="26">
      <x:c r="A26" s="29" t="n">
        <x:v>23</x:v>
      </x:c>
      <x:c r="B26" s="29" t="n">
        <x:v>256</x:v>
      </x:c>
      <x:c r="C26" s="29" t="n">
        <x:v>3</x:v>
      </x:c>
      <x:c r="D26" s="29" t="n">
        <x:v>2</x:v>
      </x:c>
      <x:c r="E26" s="29" t="n">
        <x:v>7</x:v>
      </x:c>
      <x:c r="F26" s="29" t="n">
        <x:v>244</x:v>
      </x:c>
      <x:c r="G26" s="30" t="n">
        <x:f>C26/B26</x:f>
        <x:v>0.01171875</x:v>
      </x:c>
      <x:c r="H26" s="30" t="n">
        <x:f>D26/B26</x:f>
        <x:v>0.0078125</x:v>
      </x:c>
      <x:c r="I26" s="30" t="n">
        <x:f>E26/B26</x:f>
        <x:v>0.02734375</x:v>
      </x:c>
      <x:c r="J26" s="30" t="n">
        <x:f>F26/B26</x:f>
        <x:v>0.953125</x:v>
      </x:c>
      <x:c r="K26" s="30" t="n">
        <x:f>J26</x:f>
        <x:v>0.953125</x:v>
      </x:c>
      <x:c r="L26" s="30" t="n">
        <x:f>0.5*(ABS(G26-0.0)+ABS(H26-0.0)+ABS(I26-0.0)+ABS(J26-1.0))</x:f>
        <x:v>0.046875</x:v>
      </x:c>
    </x:row>
    <x:row r="27">
      <x:c r="A27" s="29" t="n">
        <x:v>24</x:v>
      </x:c>
      <x:c r="B27" s="29" t="n">
        <x:v>256</x:v>
      </x:c>
      <x:c r="C27" s="29" t="n">
        <x:v>0</x:v>
      </x:c>
      <x:c r="D27" s="29" t="n">
        <x:v>6</x:v>
      </x:c>
      <x:c r="E27" s="29" t="n">
        <x:v>7</x:v>
      </x:c>
      <x:c r="F27" s="29" t="n">
        <x:v>243</x:v>
      </x:c>
      <x:c r="G27" s="30" t="n">
        <x:f>C27/B27</x:f>
        <x:v>0</x:v>
      </x:c>
      <x:c r="H27" s="30" t="n">
        <x:f>D27/B27</x:f>
        <x:v>0.0234375</x:v>
      </x:c>
      <x:c r="I27" s="30" t="n">
        <x:f>E27/B27</x:f>
        <x:v>0.02734375</x:v>
      </x:c>
      <x:c r="J27" s="30" t="n">
        <x:f>F27/B27</x:f>
        <x:v>0.94921875</x:v>
      </x:c>
      <x:c r="K27" s="30" t="n">
        <x:f>J27</x:f>
        <x:v>0.94921875</x:v>
      </x:c>
      <x:c r="L27" s="30" t="n">
        <x:f>0.5*(ABS(G27-0.0)+ABS(H27-0.0)+ABS(I27-0.0)+ABS(J27-1.0))</x:f>
        <x:v>0.05078125</x:v>
      </x:c>
    </x:row>
    <x:row r="28">
      <x:c r="A28" s="29" t="n">
        <x:v>25</x:v>
      </x:c>
      <x:c r="B28" s="29" t="n">
        <x:v>256</x:v>
      </x:c>
      <x:c r="C28" s="29" t="n">
        <x:v>0</x:v>
      </x:c>
      <x:c r="D28" s="29" t="n">
        <x:v>6</x:v>
      </x:c>
      <x:c r="E28" s="29" t="n">
        <x:v>6</x:v>
      </x:c>
      <x:c r="F28" s="29" t="n">
        <x:v>244</x:v>
      </x:c>
      <x:c r="G28" s="30" t="n">
        <x:f>C28/B28</x:f>
        <x:v>0</x:v>
      </x:c>
      <x:c r="H28" s="30" t="n">
        <x:f>D28/B28</x:f>
        <x:v>0.0234375</x:v>
      </x:c>
      <x:c r="I28" s="30" t="n">
        <x:f>E28/B28</x:f>
        <x:v>0.0234375</x:v>
      </x:c>
      <x:c r="J28" s="30" t="n">
        <x:f>F28/B28</x:f>
        <x:v>0.953125</x:v>
      </x:c>
      <x:c r="K28" s="30" t="n">
        <x:f>J28</x:f>
        <x:v>0.953125</x:v>
      </x:c>
      <x:c r="L28" s="30" t="n">
        <x:f>0.5*(ABS(G28-0.0)+ABS(H28-0.0)+ABS(I28-0.0)+ABS(J28-1.0))</x:f>
        <x:v>0.046875</x:v>
      </x:c>
    </x:row>
    <x:row r="29">
      <x:c r="A29" s="29" t="n">
        <x:v>26</x:v>
      </x:c>
      <x:c r="B29" s="29" t="n">
        <x:v>256</x:v>
      </x:c>
      <x:c r="C29" s="29" t="n">
        <x:v>1</x:v>
      </x:c>
      <x:c r="D29" s="29" t="n">
        <x:v>2</x:v>
      </x:c>
      <x:c r="E29" s="29" t="n">
        <x:v>4</x:v>
      </x:c>
      <x:c r="F29" s="29" t="n">
        <x:v>249</x:v>
      </x:c>
      <x:c r="G29" s="30" t="n">
        <x:f>C29/B29</x:f>
        <x:v>0.00390625</x:v>
      </x:c>
      <x:c r="H29" s="30" t="n">
        <x:f>D29/B29</x:f>
        <x:v>0.0078125</x:v>
      </x:c>
      <x:c r="I29" s="30" t="n">
        <x:f>E29/B29</x:f>
        <x:v>0.015625</x:v>
      </x:c>
      <x:c r="J29" s="30" t="n">
        <x:f>F29/B29</x:f>
        <x:v>0.97265625</x:v>
      </x:c>
      <x:c r="K29" s="30" t="n">
        <x:f>J29</x:f>
        <x:v>0.97265625</x:v>
      </x:c>
      <x:c r="L29" s="30" t="n">
        <x:f>0.5*(ABS(G29-0.0)+ABS(H29-0.0)+ABS(I29-0.0)+ABS(J29-1.0))</x:f>
        <x:v>0.02734375</x:v>
      </x:c>
    </x:row>
    <x:row r="30">
      <x:c r="A30" s="29" t="n">
        <x:v>27</x:v>
      </x:c>
      <x:c r="B30" s="29" t="n">
        <x:v>256</x:v>
      </x:c>
      <x:c r="C30" s="29" t="n">
        <x:v>0</x:v>
      </x:c>
      <x:c r="D30" s="29" t="n">
        <x:v>2</x:v>
      </x:c>
      <x:c r="E30" s="29" t="n">
        <x:v>3</x:v>
      </x:c>
      <x:c r="F30" s="29" t="n">
        <x:v>251</x:v>
      </x:c>
      <x:c r="G30" s="30" t="n">
        <x:f>C30/B30</x:f>
        <x:v>0</x:v>
      </x:c>
      <x:c r="H30" s="30" t="n">
        <x:f>D30/B30</x:f>
        <x:v>0.0078125</x:v>
      </x:c>
      <x:c r="I30" s="30" t="n">
        <x:f>E30/B30</x:f>
        <x:v>0.01171875</x:v>
      </x:c>
      <x:c r="J30" s="30" t="n">
        <x:f>F30/B30</x:f>
        <x:v>0.98046875</x:v>
      </x:c>
      <x:c r="K30" s="30" t="n">
        <x:f>J30</x:f>
        <x:v>0.98046875</x:v>
      </x:c>
      <x:c r="L30" s="30" t="n">
        <x:f>0.5*(ABS(G30-0.0)+ABS(H30-0.0)+ABS(I30-0.0)+ABS(J30-1.0))</x:f>
        <x:v>0.01953125</x:v>
      </x:c>
    </x:row>
    <x:row r="31">
      <x:c r="A31" s="29" t="n">
        <x:v>28</x:v>
      </x:c>
      <x:c r="B31" s="29" t="n">
        <x:v>256</x:v>
      </x:c>
      <x:c r="C31" s="29" t="n">
        <x:v>1</x:v>
      </x:c>
      <x:c r="D31" s="29" t="n">
        <x:v>4</x:v>
      </x:c>
      <x:c r="E31" s="29" t="n">
        <x:v>2</x:v>
      </x:c>
      <x:c r="F31" s="29" t="n">
        <x:v>249</x:v>
      </x:c>
      <x:c r="G31" s="30" t="n">
        <x:f>C31/B31</x:f>
        <x:v>0.00390625</x:v>
      </x:c>
      <x:c r="H31" s="30" t="n">
        <x:f>D31/B31</x:f>
        <x:v>0.015625</x:v>
      </x:c>
      <x:c r="I31" s="30" t="n">
        <x:f>E31/B31</x:f>
        <x:v>0.0078125</x:v>
      </x:c>
      <x:c r="J31" s="30" t="n">
        <x:f>F31/B31</x:f>
        <x:v>0.97265625</x:v>
      </x:c>
      <x:c r="K31" s="30" t="n">
        <x:f>J31</x:f>
        <x:v>0.97265625</x:v>
      </x:c>
      <x:c r="L31" s="30" t="n">
        <x:f>0.5*(ABS(G31-0.0)+ABS(H31-0.0)+ABS(I31-0.0)+ABS(J31-1.0))</x:f>
        <x:v>0.02734375</x:v>
      </x:c>
    </x:row>
    <x:row r="32">
      <x:c r="A32" s="29" t="n">
        <x:v>29</x:v>
      </x:c>
      <x:c r="B32" s="29" t="n">
        <x:v>256</x:v>
      </x:c>
      <x:c r="C32" s="29" t="n">
        <x:v>0</x:v>
      </x:c>
      <x:c r="D32" s="29" t="n">
        <x:v>4</x:v>
      </x:c>
      <x:c r="E32" s="29" t="n">
        <x:v>4</x:v>
      </x:c>
      <x:c r="F32" s="29" t="n">
        <x:v>248</x:v>
      </x:c>
      <x:c r="G32" s="30" t="n">
        <x:f>C32/B32</x:f>
        <x:v>0</x:v>
      </x:c>
      <x:c r="H32" s="30" t="n">
        <x:f>D32/B32</x:f>
        <x:v>0.015625</x:v>
      </x:c>
      <x:c r="I32" s="30" t="n">
        <x:f>E32/B32</x:f>
        <x:v>0.015625</x:v>
      </x:c>
      <x:c r="J32" s="30" t="n">
        <x:f>F32/B32</x:f>
        <x:v>0.96875</x:v>
      </x:c>
      <x:c r="K32" s="30" t="n">
        <x:f>J32</x:f>
        <x:v>0.96875</x:v>
      </x:c>
      <x:c r="L32" s="30" t="n">
        <x:f>0.5*(ABS(G32-0.0)+ABS(H32-0.0)+ABS(I32-0.0)+ABS(J32-1.0))</x:f>
        <x:v>0.03125</x:v>
      </x:c>
    </x:row>
    <x:row r="33">
      <x:c r="A33" s="29" t="n">
        <x:v>30</x:v>
      </x:c>
      <x:c r="B33" s="29" t="n">
        <x:v>256</x:v>
      </x:c>
      <x:c r="C33" s="29" t="n">
        <x:v>1</x:v>
      </x:c>
      <x:c r="D33" s="29" t="n">
        <x:v>2</x:v>
      </x:c>
      <x:c r="E33" s="29" t="n">
        <x:v>3</x:v>
      </x:c>
      <x:c r="F33" s="29" t="n">
        <x:v>250</x:v>
      </x:c>
      <x:c r="G33" s="30" t="n">
        <x:f>C33/B33</x:f>
        <x:v>0.00390625</x:v>
      </x:c>
      <x:c r="H33" s="30" t="n">
        <x:f>D33/B33</x:f>
        <x:v>0.0078125</x:v>
      </x:c>
      <x:c r="I33" s="30" t="n">
        <x:f>E33/B33</x:f>
        <x:v>0.01171875</x:v>
      </x:c>
      <x:c r="J33" s="30" t="n">
        <x:f>F33/B33</x:f>
        <x:v>0.9765625</x:v>
      </x:c>
      <x:c r="K33" s="30" t="n">
        <x:f>J33</x:f>
        <x:v>0.9765625</x:v>
      </x:c>
      <x:c r="L33" s="30" t="n">
        <x:f>0.5*(ABS(G33-0.0)+ABS(H33-0.0)+ABS(I33-0.0)+ABS(J33-1.0))</x:f>
        <x:v>0.0234375</x:v>
      </x:c>
    </x:row>
    <x:row r="34">
      <x:c r="A34" s="29" t="n">
        <x:v>31</x:v>
      </x:c>
      <x:c r="B34" s="29" t="n">
        <x:v>256</x:v>
      </x:c>
      <x:c r="C34" s="29" t="n">
        <x:v>1</x:v>
      </x:c>
      <x:c r="D34" s="29" t="n">
        <x:v>7</x:v>
      </x:c>
      <x:c r="E34" s="29" t="n">
        <x:v>2</x:v>
      </x:c>
      <x:c r="F34" s="29" t="n">
        <x:v>246</x:v>
      </x:c>
      <x:c r="G34" s="30" t="n">
        <x:f>C34/B34</x:f>
        <x:v>0.00390625</x:v>
      </x:c>
      <x:c r="H34" s="30" t="n">
        <x:f>D34/B34</x:f>
        <x:v>0.02734375</x:v>
      </x:c>
      <x:c r="I34" s="30" t="n">
        <x:f>E34/B34</x:f>
        <x:v>0.0078125</x:v>
      </x:c>
      <x:c r="J34" s="30" t="n">
        <x:f>F34/B34</x:f>
        <x:v>0.9609375</x:v>
      </x:c>
      <x:c r="K34" s="30" t="n">
        <x:f>J34</x:f>
        <x:v>0.9609375</x:v>
      </x:c>
      <x:c r="L34" s="30" t="n">
        <x:f>0.5*(ABS(G34-0.0)+ABS(H34-0.0)+ABS(I34-0.0)+ABS(J34-1.0))</x:f>
        <x:v>0.0390625</x:v>
      </x:c>
    </x:row>
    <x:row r="35">
      <x:c r="A35" s="29" t="n">
        <x:v>32</x:v>
      </x:c>
      <x:c r="B35" s="29" t="n">
        <x:v>256</x:v>
      </x:c>
      <x:c r="C35" s="29" t="n">
        <x:v>2</x:v>
      </x:c>
      <x:c r="D35" s="29" t="n">
        <x:v>1</x:v>
      </x:c>
      <x:c r="E35" s="29" t="n">
        <x:v>3</x:v>
      </x:c>
      <x:c r="F35" s="29" t="n">
        <x:v>250</x:v>
      </x:c>
      <x:c r="G35" s="30" t="n">
        <x:f>C35/B35</x:f>
        <x:v>0.0078125</x:v>
      </x:c>
      <x:c r="H35" s="30" t="n">
        <x:f>D35/B35</x:f>
        <x:v>0.00390625</x:v>
      </x:c>
      <x:c r="I35" s="30" t="n">
        <x:f>E35/B35</x:f>
        <x:v>0.01171875</x:v>
      </x:c>
      <x:c r="J35" s="30" t="n">
        <x:f>F35/B35</x:f>
        <x:v>0.9765625</x:v>
      </x:c>
      <x:c r="K35" s="30" t="n">
        <x:f>J35</x:f>
        <x:v>0.9765625</x:v>
      </x:c>
      <x:c r="L35" s="30" t="n">
        <x:f>0.5*(ABS(G35-0.0)+ABS(H35-0.0)+ABS(I35-0.0)+ABS(J35-1.0))</x:f>
        <x:v>0.0234375</x:v>
      </x:c>
    </x:row>
    <x:row r="36">
      <x:c r="A36" s="29" t="n">
        <x:v>33</x:v>
      </x:c>
      <x:c r="B36" s="29" t="n">
        <x:v>256</x:v>
      </x:c>
      <x:c r="C36" s="29" t="n">
        <x:v>1</x:v>
      </x:c>
      <x:c r="D36" s="29" t="n">
        <x:v>2</x:v>
      </x:c>
      <x:c r="E36" s="29" t="n">
        <x:v>6</x:v>
      </x:c>
      <x:c r="F36" s="29" t="n">
        <x:v>247</x:v>
      </x:c>
      <x:c r="G36" s="30" t="n">
        <x:f>C36/B36</x:f>
        <x:v>0.00390625</x:v>
      </x:c>
      <x:c r="H36" s="30" t="n">
        <x:f>D36/B36</x:f>
        <x:v>0.0078125</x:v>
      </x:c>
      <x:c r="I36" s="30" t="n">
        <x:f>E36/B36</x:f>
        <x:v>0.0234375</x:v>
      </x:c>
      <x:c r="J36" s="30" t="n">
        <x:f>F36/B36</x:f>
        <x:v>0.96484375</x:v>
      </x:c>
      <x:c r="K36" s="30" t="n">
        <x:f>J36</x:f>
        <x:v>0.96484375</x:v>
      </x:c>
      <x:c r="L36" s="30" t="n">
        <x:f>0.5*(ABS(G36-0.0)+ABS(H36-0.0)+ABS(I36-0.0)+ABS(J36-1.0))</x:f>
        <x:v>0.03515625</x:v>
      </x:c>
    </x:row>
    <x:row r="37">
      <x:c r="A37" s="29" t="n">
        <x:v>34</x:v>
      </x:c>
      <x:c r="B37" s="29" t="n">
        <x:v>256</x:v>
      </x:c>
      <x:c r="C37" s="29" t="n">
        <x:v>1</x:v>
      </x:c>
      <x:c r="D37" s="29" t="n">
        <x:v>3</x:v>
      </x:c>
      <x:c r="E37" s="29" t="n">
        <x:v>5</x:v>
      </x:c>
      <x:c r="F37" s="29" t="n">
        <x:v>247</x:v>
      </x:c>
      <x:c r="G37" s="30" t="n">
        <x:f>C37/B37</x:f>
        <x:v>0.00390625</x:v>
      </x:c>
      <x:c r="H37" s="30" t="n">
        <x:f>D37/B37</x:f>
        <x:v>0.01171875</x:v>
      </x:c>
      <x:c r="I37" s="30" t="n">
        <x:f>E37/B37</x:f>
        <x:v>0.01953125</x:v>
      </x:c>
      <x:c r="J37" s="30" t="n">
        <x:f>F37/B37</x:f>
        <x:v>0.96484375</x:v>
      </x:c>
      <x:c r="K37" s="30" t="n">
        <x:f>J37</x:f>
        <x:v>0.96484375</x:v>
      </x:c>
      <x:c r="L37" s="30" t="n">
        <x:f>0.5*(ABS(G37-0.0)+ABS(H37-0.0)+ABS(I37-0.0)+ABS(J37-1.0))</x:f>
        <x:v>0.03515625</x:v>
      </x:c>
    </x:row>
    <x:row r="38">
      <x:c r="A38" s="29" t="n">
        <x:v>35</x:v>
      </x:c>
      <x:c r="B38" s="29" t="n">
        <x:v>256</x:v>
      </x:c>
      <x:c r="C38" s="29" t="n">
        <x:v>2</x:v>
      </x:c>
      <x:c r="D38" s="29" t="n">
        <x:v>5</x:v>
      </x:c>
      <x:c r="E38" s="29" t="n">
        <x:v>2</x:v>
      </x:c>
      <x:c r="F38" s="29" t="n">
        <x:v>247</x:v>
      </x:c>
      <x:c r="G38" s="30" t="n">
        <x:f>C38/B38</x:f>
        <x:v>0.0078125</x:v>
      </x:c>
      <x:c r="H38" s="30" t="n">
        <x:f>D38/B38</x:f>
        <x:v>0.01953125</x:v>
      </x:c>
      <x:c r="I38" s="30" t="n">
        <x:f>E38/B38</x:f>
        <x:v>0.0078125</x:v>
      </x:c>
      <x:c r="J38" s="30" t="n">
        <x:f>F38/B38</x:f>
        <x:v>0.96484375</x:v>
      </x:c>
      <x:c r="K38" s="30" t="n">
        <x:f>J38</x:f>
        <x:v>0.96484375</x:v>
      </x:c>
      <x:c r="L38" s="30" t="n">
        <x:f>0.5*(ABS(G38-0.0)+ABS(H38-0.0)+ABS(I38-0.0)+ABS(J38-1.0))</x:f>
        <x:v>0.03515625</x:v>
      </x:c>
    </x:row>
    <x:row r="39">
      <x:c r="A39" s="29" t="n">
        <x:v>36</x:v>
      </x:c>
      <x:c r="B39" s="29" t="n">
        <x:v>256</x:v>
      </x:c>
      <x:c r="C39" s="29" t="n">
        <x:v>1</x:v>
      </x:c>
      <x:c r="D39" s="29" t="n">
        <x:v>2</x:v>
      </x:c>
      <x:c r="E39" s="29" t="n">
        <x:v>3</x:v>
      </x:c>
      <x:c r="F39" s="29" t="n">
        <x:v>250</x:v>
      </x:c>
      <x:c r="G39" s="30" t="n">
        <x:f>C39/B39</x:f>
        <x:v>0.00390625</x:v>
      </x:c>
      <x:c r="H39" s="30" t="n">
        <x:f>D39/B39</x:f>
        <x:v>0.0078125</x:v>
      </x:c>
      <x:c r="I39" s="30" t="n">
        <x:f>E39/B39</x:f>
        <x:v>0.01171875</x:v>
      </x:c>
      <x:c r="J39" s="30" t="n">
        <x:f>F39/B39</x:f>
        <x:v>0.9765625</x:v>
      </x:c>
      <x:c r="K39" s="30" t="n">
        <x:f>J39</x:f>
        <x:v>0.9765625</x:v>
      </x:c>
      <x:c r="L39" s="30" t="n">
        <x:f>0.5*(ABS(G39-0.0)+ABS(H39-0.0)+ABS(I39-0.0)+ABS(J39-1.0))</x:f>
        <x:v>0.0234375</x:v>
      </x:c>
    </x:row>
    <x:row r="40">
      <x:c r="A40" s="29" t="n">
        <x:v>37</x:v>
      </x:c>
      <x:c r="B40" s="29" t="n">
        <x:v>256</x:v>
      </x:c>
      <x:c r="C40" s="29" t="n">
        <x:v>3</x:v>
      </x:c>
      <x:c r="D40" s="29" t="n">
        <x:v>5</x:v>
      </x:c>
      <x:c r="E40" s="29" t="n">
        <x:v>3</x:v>
      </x:c>
      <x:c r="F40" s="29" t="n">
        <x:v>245</x:v>
      </x:c>
      <x:c r="G40" s="30" t="n">
        <x:f>C40/B40</x:f>
        <x:v>0.01171875</x:v>
      </x:c>
      <x:c r="H40" s="30" t="n">
        <x:f>D40/B40</x:f>
        <x:v>0.01953125</x:v>
      </x:c>
      <x:c r="I40" s="30" t="n">
        <x:f>E40/B40</x:f>
        <x:v>0.01171875</x:v>
      </x:c>
      <x:c r="J40" s="30" t="n">
        <x:f>F40/B40</x:f>
        <x:v>0.95703125</x:v>
      </x:c>
      <x:c r="K40" s="30" t="n">
        <x:f>J40</x:f>
        <x:v>0.95703125</x:v>
      </x:c>
      <x:c r="L40" s="30" t="n">
        <x:f>0.5*(ABS(G40-0.0)+ABS(H40-0.0)+ABS(I40-0.0)+ABS(J40-1.0))</x:f>
        <x:v>0.04296875</x:v>
      </x:c>
    </x:row>
    <x:row r="41">
      <x:c r="A41" s="29" t="n">
        <x:v>38</x:v>
      </x:c>
      <x:c r="B41" s="29" t="n">
        <x:v>256</x:v>
      </x:c>
      <x:c r="C41" s="29" t="n">
        <x:v>0</x:v>
      </x:c>
      <x:c r="D41" s="29" t="n">
        <x:v>4</x:v>
      </x:c>
      <x:c r="E41" s="29" t="n">
        <x:v>8</x:v>
      </x:c>
      <x:c r="F41" s="29" t="n">
        <x:v>244</x:v>
      </x:c>
      <x:c r="G41" s="30" t="n">
        <x:f>C41/B41</x:f>
        <x:v>0</x:v>
      </x:c>
      <x:c r="H41" s="30" t="n">
        <x:f>D41/B41</x:f>
        <x:v>0.015625</x:v>
      </x:c>
      <x:c r="I41" s="30" t="n">
        <x:f>E41/B41</x:f>
        <x:v>0.03125</x:v>
      </x:c>
      <x:c r="J41" s="30" t="n">
        <x:f>F41/B41</x:f>
        <x:v>0.953125</x:v>
      </x:c>
      <x:c r="K41" s="30" t="n">
        <x:f>J41</x:f>
        <x:v>0.953125</x:v>
      </x:c>
      <x:c r="L41" s="30" t="n">
        <x:f>0.5*(ABS(G41-0.0)+ABS(H41-0.0)+ABS(I41-0.0)+ABS(J41-1.0))</x:f>
        <x:v>0.046875</x:v>
      </x:c>
    </x:row>
    <x:row r="42">
      <x:c r="A42" s="29" t="n">
        <x:v>39</x:v>
      </x:c>
      <x:c r="B42" s="29" t="n">
        <x:v>256</x:v>
      </x:c>
      <x:c r="C42" s="29" t="n">
        <x:v>0</x:v>
      </x:c>
      <x:c r="D42" s="29" t="n">
        <x:v>6</x:v>
      </x:c>
      <x:c r="E42" s="29" t="n">
        <x:v>6</x:v>
      </x:c>
      <x:c r="F42" s="29" t="n">
        <x:v>244</x:v>
      </x:c>
      <x:c r="G42" s="30" t="n">
        <x:f>C42/B42</x:f>
        <x:v>0</x:v>
      </x:c>
      <x:c r="H42" s="30" t="n">
        <x:f>D42/B42</x:f>
        <x:v>0.0234375</x:v>
      </x:c>
      <x:c r="I42" s="30" t="n">
        <x:f>E42/B42</x:f>
        <x:v>0.0234375</x:v>
      </x:c>
      <x:c r="J42" s="30" t="n">
        <x:f>F42/B42</x:f>
        <x:v>0.953125</x:v>
      </x:c>
      <x:c r="K42" s="30" t="n">
        <x:f>J42</x:f>
        <x:v>0.953125</x:v>
      </x:c>
      <x:c r="L42" s="30" t="n">
        <x:f>0.5*(ABS(G42-0.0)+ABS(H42-0.0)+ABS(I42-0.0)+ABS(J42-1.0))</x:f>
        <x:v>0.046875</x:v>
      </x:c>
    </x:row>
    <x:row r="43">
      <x:c r="A43" s="29" t="n">
        <x:v>40</x:v>
      </x:c>
      <x:c r="B43" s="29" t="n">
        <x:v>256</x:v>
      </x:c>
      <x:c r="C43" s="29" t="n">
        <x:v>3</x:v>
      </x:c>
      <x:c r="D43" s="29" t="n">
        <x:v>3</x:v>
      </x:c>
      <x:c r="E43" s="29" t="n">
        <x:v>7</x:v>
      </x:c>
      <x:c r="F43" s="29" t="n">
        <x:v>243</x:v>
      </x:c>
      <x:c r="G43" s="30" t="n">
        <x:f>C43/B43</x:f>
        <x:v>0.01171875</x:v>
      </x:c>
      <x:c r="H43" s="30" t="n">
        <x:f>D43/B43</x:f>
        <x:v>0.01171875</x:v>
      </x:c>
      <x:c r="I43" s="30" t="n">
        <x:f>E43/B43</x:f>
        <x:v>0.02734375</x:v>
      </x:c>
      <x:c r="J43" s="30" t="n">
        <x:f>F43/B43</x:f>
        <x:v>0.94921875</x:v>
      </x:c>
      <x:c r="K43" s="30" t="n">
        <x:f>J43</x:f>
        <x:v>0.94921875</x:v>
      </x:c>
      <x:c r="L43" s="30" t="n">
        <x:f>0.5*(ABS(G43-0.0)+ABS(H43-0.0)+ABS(I43-0.0)+ABS(J43-1.0))</x:f>
        <x:v>0.05078125</x:v>
      </x:c>
    </x:row>
    <x:row r="44">
      <x:c r="A44" s="29" t="n">
        <x:v>41</x:v>
      </x:c>
      <x:c r="B44" s="29" t="n">
        <x:v>256</x:v>
      </x:c>
      <x:c r="C44" s="29" t="n">
        <x:v>0</x:v>
      </x:c>
      <x:c r="D44" s="29" t="n">
        <x:v>3</x:v>
      </x:c>
      <x:c r="E44" s="29" t="n">
        <x:v>3</x:v>
      </x:c>
      <x:c r="F44" s="29" t="n">
        <x:v>250</x:v>
      </x:c>
      <x:c r="G44" s="30" t="n">
        <x:f>C44/B44</x:f>
        <x:v>0</x:v>
      </x:c>
      <x:c r="H44" s="30" t="n">
        <x:f>D44/B44</x:f>
        <x:v>0.01171875</x:v>
      </x:c>
      <x:c r="I44" s="30" t="n">
        <x:f>E44/B44</x:f>
        <x:v>0.01171875</x:v>
      </x:c>
      <x:c r="J44" s="30" t="n">
        <x:f>F44/B44</x:f>
        <x:v>0.9765625</x:v>
      </x:c>
      <x:c r="K44" s="30" t="n">
        <x:f>J44</x:f>
        <x:v>0.9765625</x:v>
      </x:c>
      <x:c r="L44" s="30" t="n">
        <x:f>0.5*(ABS(G44-0.0)+ABS(H44-0.0)+ABS(I44-0.0)+ABS(J44-1.0))</x:f>
        <x:v>0.0234375</x:v>
      </x:c>
    </x:row>
    <x:row r="45">
      <x:c r="A45" s="29" t="n">
        <x:v>42</x:v>
      </x:c>
      <x:c r="B45" s="29" t="n">
        <x:v>256</x:v>
      </x:c>
      <x:c r="C45" s="29" t="n">
        <x:v>2</x:v>
      </x:c>
      <x:c r="D45" s="29" t="n">
        <x:v>5</x:v>
      </x:c>
      <x:c r="E45" s="29" t="n">
        <x:v>3</x:v>
      </x:c>
      <x:c r="F45" s="29" t="n">
        <x:v>246</x:v>
      </x:c>
      <x:c r="G45" s="30" t="n">
        <x:f>C45/B45</x:f>
        <x:v>0.0078125</x:v>
      </x:c>
      <x:c r="H45" s="30" t="n">
        <x:f>D45/B45</x:f>
        <x:v>0.01953125</x:v>
      </x:c>
      <x:c r="I45" s="30" t="n">
        <x:f>E45/B45</x:f>
        <x:v>0.01171875</x:v>
      </x:c>
      <x:c r="J45" s="30" t="n">
        <x:f>F45/B45</x:f>
        <x:v>0.9609375</x:v>
      </x:c>
      <x:c r="K45" s="30" t="n">
        <x:f>J45</x:f>
        <x:v>0.9609375</x:v>
      </x:c>
      <x:c r="L45" s="30" t="n">
        <x:f>0.5*(ABS(G45-0.0)+ABS(H45-0.0)+ABS(I45-0.0)+ABS(J45-1.0))</x:f>
        <x:v>0.0390625</x:v>
      </x:c>
    </x:row>
    <x:row r="46">
      <x:c r="A46" s="29" t="n">
        <x:v>43</x:v>
      </x:c>
      <x:c r="B46" s="29" t="n">
        <x:v>256</x:v>
      </x:c>
      <x:c r="C46" s="29" t="n">
        <x:v>0</x:v>
      </x:c>
      <x:c r="D46" s="29" t="n">
        <x:v>4</x:v>
      </x:c>
      <x:c r="E46" s="29" t="n">
        <x:v>7</x:v>
      </x:c>
      <x:c r="F46" s="29" t="n">
        <x:v>245</x:v>
      </x:c>
      <x:c r="G46" s="30" t="n">
        <x:f>C46/B46</x:f>
        <x:v>0</x:v>
      </x:c>
      <x:c r="H46" s="30" t="n">
        <x:f>D46/B46</x:f>
        <x:v>0.015625</x:v>
      </x:c>
      <x:c r="I46" s="30" t="n">
        <x:f>E46/B46</x:f>
        <x:v>0.02734375</x:v>
      </x:c>
      <x:c r="J46" s="30" t="n">
        <x:f>F46/B46</x:f>
        <x:v>0.95703125</x:v>
      </x:c>
      <x:c r="K46" s="30" t="n">
        <x:f>J46</x:f>
        <x:v>0.95703125</x:v>
      </x:c>
      <x:c r="L46" s="30" t="n">
        <x:f>0.5*(ABS(G46-0.0)+ABS(H46-0.0)+ABS(I46-0.0)+ABS(J46-1.0))</x:f>
        <x:v>0.04296875</x:v>
      </x:c>
    </x:row>
    <x:row r="47">
      <x:c r="A47" s="29" t="n">
        <x:v>44</x:v>
      </x:c>
      <x:c r="B47" s="29" t="n">
        <x:v>256</x:v>
      </x:c>
      <x:c r="C47" s="29" t="n">
        <x:v>0</x:v>
      </x:c>
      <x:c r="D47" s="29" t="n">
        <x:v>9</x:v>
      </x:c>
      <x:c r="E47" s="29" t="n">
        <x:v>8</x:v>
      </x:c>
      <x:c r="F47" s="29" t="n">
        <x:v>239</x:v>
      </x:c>
      <x:c r="G47" s="30" t="n">
        <x:f>C47/B47</x:f>
        <x:v>0</x:v>
      </x:c>
      <x:c r="H47" s="30" t="n">
        <x:f>D47/B47</x:f>
        <x:v>0.03515625</x:v>
      </x:c>
      <x:c r="I47" s="30" t="n">
        <x:f>E47/B47</x:f>
        <x:v>0.03125</x:v>
      </x:c>
      <x:c r="J47" s="30" t="n">
        <x:f>F47/B47</x:f>
        <x:v>0.93359375</x:v>
      </x:c>
      <x:c r="K47" s="30" t="n">
        <x:f>J47</x:f>
        <x:v>0.93359375</x:v>
      </x:c>
      <x:c r="L47" s="30" t="n">
        <x:f>0.5*(ABS(G47-0.0)+ABS(H47-0.0)+ABS(I47-0.0)+ABS(J47-1.0))</x:f>
        <x:v>0.06640625</x:v>
      </x:c>
    </x:row>
    <x:row r="48">
      <x:c r="A48" s="29" t="n">
        <x:v>45</x:v>
      </x:c>
      <x:c r="B48" s="29" t="n">
        <x:v>256</x:v>
      </x:c>
      <x:c r="C48" s="29" t="n">
        <x:v>2</x:v>
      </x:c>
      <x:c r="D48" s="29" t="n">
        <x:v>4</x:v>
      </x:c>
      <x:c r="E48" s="29" t="n">
        <x:v>6</x:v>
      </x:c>
      <x:c r="F48" s="29" t="n">
        <x:v>244</x:v>
      </x:c>
      <x:c r="G48" s="30" t="n">
        <x:f>C48/B48</x:f>
        <x:v>0.0078125</x:v>
      </x:c>
      <x:c r="H48" s="30" t="n">
        <x:f>D48/B48</x:f>
        <x:v>0.015625</x:v>
      </x:c>
      <x:c r="I48" s="30" t="n">
        <x:f>E48/B48</x:f>
        <x:v>0.0234375</x:v>
      </x:c>
      <x:c r="J48" s="30" t="n">
        <x:f>F48/B48</x:f>
        <x:v>0.953125</x:v>
      </x:c>
      <x:c r="K48" s="30" t="n">
        <x:f>J48</x:f>
        <x:v>0.953125</x:v>
      </x:c>
      <x:c r="L48" s="30" t="n">
        <x:f>0.5*(ABS(G48-0.0)+ABS(H48-0.0)+ABS(I48-0.0)+ABS(J48-1.0))</x:f>
        <x:v>0.046875</x:v>
      </x:c>
    </x:row>
    <x:row r="49">
      <x:c r="A49" s="29" t="n">
        <x:v>46</x:v>
      </x:c>
      <x:c r="B49" s="29" t="n">
        <x:v>256</x:v>
      </x:c>
      <x:c r="C49" s="29" t="n">
        <x:v>1</x:v>
      </x:c>
      <x:c r="D49" s="29" t="n">
        <x:v>9</x:v>
      </x:c>
      <x:c r="E49" s="29" t="n">
        <x:v>5</x:v>
      </x:c>
      <x:c r="F49" s="29" t="n">
        <x:v>241</x:v>
      </x:c>
      <x:c r="G49" s="30" t="n">
        <x:f>C49/B49</x:f>
        <x:v>0.00390625</x:v>
      </x:c>
      <x:c r="H49" s="30" t="n">
        <x:f>D49/B49</x:f>
        <x:v>0.03515625</x:v>
      </x:c>
      <x:c r="I49" s="30" t="n">
        <x:f>E49/B49</x:f>
        <x:v>0.01953125</x:v>
      </x:c>
      <x:c r="J49" s="30" t="n">
        <x:f>F49/B49</x:f>
        <x:v>0.94140625</x:v>
      </x:c>
      <x:c r="K49" s="30" t="n">
        <x:f>J49</x:f>
        <x:v>0.94140625</x:v>
      </x:c>
      <x:c r="L49" s="30" t="n">
        <x:f>0.5*(ABS(G49-0.0)+ABS(H49-0.0)+ABS(I49-0.0)+ABS(J49-1.0))</x:f>
        <x:v>0.05859375</x:v>
      </x:c>
    </x:row>
    <x:row r="50">
      <x:c r="A50" s="29" t="n">
        <x:v>47</x:v>
      </x:c>
      <x:c r="B50" s="29" t="n">
        <x:v>256</x:v>
      </x:c>
      <x:c r="C50" s="29" t="n">
        <x:v>0</x:v>
      </x:c>
      <x:c r="D50" s="29" t="n">
        <x:v>2</x:v>
      </x:c>
      <x:c r="E50" s="29" t="n">
        <x:v>6</x:v>
      </x:c>
      <x:c r="F50" s="29" t="n">
        <x:v>248</x:v>
      </x:c>
      <x:c r="G50" s="30" t="n">
        <x:f>C50/B50</x:f>
        <x:v>0</x:v>
      </x:c>
      <x:c r="H50" s="30" t="n">
        <x:f>D50/B50</x:f>
        <x:v>0.0078125</x:v>
      </x:c>
      <x:c r="I50" s="30" t="n">
        <x:f>E50/B50</x:f>
        <x:v>0.0234375</x:v>
      </x:c>
      <x:c r="J50" s="30" t="n">
        <x:f>F50/B50</x:f>
        <x:v>0.96875</x:v>
      </x:c>
      <x:c r="K50" s="30" t="n">
        <x:f>J50</x:f>
        <x:v>0.96875</x:v>
      </x:c>
      <x:c r="L50" s="30" t="n">
        <x:f>0.5*(ABS(G50-0.0)+ABS(H50-0.0)+ABS(I50-0.0)+ABS(J50-1.0))</x:f>
        <x:v>0.03125</x:v>
      </x:c>
    </x:row>
    <x:row r="51">
      <x:c r="A51" s="29" t="n">
        <x:v>48</x:v>
      </x:c>
      <x:c r="B51" s="29" t="n">
        <x:v>256</x:v>
      </x:c>
      <x:c r="C51" s="29" t="n">
        <x:v>2</x:v>
      </x:c>
      <x:c r="D51" s="29" t="n">
        <x:v>4</x:v>
      </x:c>
      <x:c r="E51" s="29" t="n">
        <x:v>3</x:v>
      </x:c>
      <x:c r="F51" s="29" t="n">
        <x:v>247</x:v>
      </x:c>
      <x:c r="G51" s="30" t="n">
        <x:f>C51/B51</x:f>
        <x:v>0.0078125</x:v>
      </x:c>
      <x:c r="H51" s="30" t="n">
        <x:f>D51/B51</x:f>
        <x:v>0.015625</x:v>
      </x:c>
      <x:c r="I51" s="30" t="n">
        <x:f>E51/B51</x:f>
        <x:v>0.01171875</x:v>
      </x:c>
      <x:c r="J51" s="30" t="n">
        <x:f>F51/B51</x:f>
        <x:v>0.96484375</x:v>
      </x:c>
      <x:c r="K51" s="30" t="n">
        <x:f>J51</x:f>
        <x:v>0.96484375</x:v>
      </x:c>
      <x:c r="L51" s="30" t="n">
        <x:f>0.5*(ABS(G51-0.0)+ABS(H51-0.0)+ABS(I51-0.0)+ABS(J51-1.0))</x:f>
        <x:v>0.03515625</x:v>
      </x:c>
    </x:row>
    <x:row r="52">
      <x:c r="A52" s="29" t="n">
        <x:v>49</x:v>
      </x:c>
      <x:c r="B52" s="29" t="n">
        <x:v>256</x:v>
      </x:c>
      <x:c r="C52" s="29" t="n">
        <x:v>1</x:v>
      </x:c>
      <x:c r="D52" s="29" t="n">
        <x:v>5</x:v>
      </x:c>
      <x:c r="E52" s="29" t="n">
        <x:v>3</x:v>
      </x:c>
      <x:c r="F52" s="29" t="n">
        <x:v>247</x:v>
      </x:c>
      <x:c r="G52" s="30" t="n">
        <x:f>C52/B52</x:f>
        <x:v>0.00390625</x:v>
      </x:c>
      <x:c r="H52" s="30" t="n">
        <x:f>D52/B52</x:f>
        <x:v>0.01953125</x:v>
      </x:c>
      <x:c r="I52" s="30" t="n">
        <x:f>E52/B52</x:f>
        <x:v>0.01171875</x:v>
      </x:c>
      <x:c r="J52" s="30" t="n">
        <x:f>F52/B52</x:f>
        <x:v>0.96484375</x:v>
      </x:c>
      <x:c r="K52" s="30" t="n">
        <x:f>J52</x:f>
        <x:v>0.96484375</x:v>
      </x:c>
      <x:c r="L52" s="30" t="n">
        <x:f>0.5*(ABS(G52-0.0)+ABS(H52-0.0)+ABS(I52-0.0)+ABS(J52-1.0))</x:f>
        <x:v>0.03515625</x:v>
      </x:c>
    </x:row>
    <x:row r="53">
      <x:c r="A53" s="29" t="n">
        <x:v>50</x:v>
      </x:c>
      <x:c r="B53" s="29" t="n">
        <x:v>256</x:v>
      </x:c>
      <x:c r="C53" s="29" t="n">
        <x:v>1</x:v>
      </x:c>
      <x:c r="D53" s="29" t="n">
        <x:v>4</x:v>
      </x:c>
      <x:c r="E53" s="29" t="n">
        <x:v>5</x:v>
      </x:c>
      <x:c r="F53" s="29" t="n">
        <x:v>246</x:v>
      </x:c>
      <x:c r="G53" s="30" t="n">
        <x:f>C53/B53</x:f>
        <x:v>0.00390625</x:v>
      </x:c>
      <x:c r="H53" s="30" t="n">
        <x:f>D53/B53</x:f>
        <x:v>0.015625</x:v>
      </x:c>
      <x:c r="I53" s="30" t="n">
        <x:f>E53/B53</x:f>
        <x:v>0.01953125</x:v>
      </x:c>
      <x:c r="J53" s="30" t="n">
        <x:f>F53/B53</x:f>
        <x:v>0.9609375</x:v>
      </x:c>
      <x:c r="K53" s="30" t="n">
        <x:f>J53</x:f>
        <x:v>0.9609375</x:v>
      </x:c>
      <x:c r="L53" s="30" t="n">
        <x:f>0.5*(ABS(G53-0.0)+ABS(H53-0.0)+ABS(I53-0.0)+ABS(J53-1.0))</x:f>
        <x:v>0.0390625</x:v>
      </x:c>
    </x:row>
    <x:row r="54">
      <x:c r="A54" s="29" t="n">
        <x:v>51</x:v>
      </x:c>
      <x:c r="B54" s="29" t="n">
        <x:v>256</x:v>
      </x:c>
      <x:c r="C54" s="29" t="n">
        <x:v>1</x:v>
      </x:c>
      <x:c r="D54" s="29" t="n">
        <x:v>3</x:v>
      </x:c>
      <x:c r="E54" s="29" t="n">
        <x:v>6</x:v>
      </x:c>
      <x:c r="F54" s="29" t="n">
        <x:v>246</x:v>
      </x:c>
      <x:c r="G54" s="30" t="n">
        <x:f>C54/B54</x:f>
        <x:v>0.00390625</x:v>
      </x:c>
      <x:c r="H54" s="30" t="n">
        <x:f>D54/B54</x:f>
        <x:v>0.01171875</x:v>
      </x:c>
      <x:c r="I54" s="30" t="n">
        <x:f>E54/B54</x:f>
        <x:v>0.0234375</x:v>
      </x:c>
      <x:c r="J54" s="30" t="n">
        <x:f>F54/B54</x:f>
        <x:v>0.9609375</x:v>
      </x:c>
      <x:c r="K54" s="30" t="n">
        <x:f>J54</x:f>
        <x:v>0.9609375</x:v>
      </x:c>
      <x:c r="L54" s="30" t="n">
        <x:f>0.5*(ABS(G54-0.0)+ABS(H54-0.0)+ABS(I54-0.0)+ABS(J54-1.0))</x:f>
        <x:v>0.0390625</x:v>
      </x:c>
    </x:row>
    <x:row r="55">
      <x:c r="A55" s="29" t="n">
        <x:v>52</x:v>
      </x:c>
      <x:c r="B55" s="29" t="n">
        <x:v>256</x:v>
      </x:c>
      <x:c r="C55" s="29" t="n">
        <x:v>2</x:v>
      </x:c>
      <x:c r="D55" s="29" t="n">
        <x:v>3</x:v>
      </x:c>
      <x:c r="E55" s="29" t="n">
        <x:v>2</x:v>
      </x:c>
      <x:c r="F55" s="29" t="n">
        <x:v>249</x:v>
      </x:c>
      <x:c r="G55" s="30" t="n">
        <x:f>C55/B55</x:f>
        <x:v>0.0078125</x:v>
      </x:c>
      <x:c r="H55" s="30" t="n">
        <x:f>D55/B55</x:f>
        <x:v>0.01171875</x:v>
      </x:c>
      <x:c r="I55" s="30" t="n">
        <x:f>E55/B55</x:f>
        <x:v>0.0078125</x:v>
      </x:c>
      <x:c r="J55" s="30" t="n">
        <x:f>F55/B55</x:f>
        <x:v>0.97265625</x:v>
      </x:c>
      <x:c r="K55" s="30" t="n">
        <x:f>J55</x:f>
        <x:v>0.97265625</x:v>
      </x:c>
      <x:c r="L55" s="30" t="n">
        <x:f>0.5*(ABS(G55-0.0)+ABS(H55-0.0)+ABS(I55-0.0)+ABS(J55-1.0))</x:f>
        <x:v>0.02734375</x:v>
      </x:c>
    </x:row>
    <x:row r="56">
      <x:c r="A56" s="29" t="n">
        <x:v>53</x:v>
      </x:c>
      <x:c r="B56" s="29" t="n">
        <x:v>256</x:v>
      </x:c>
      <x:c r="C56" s="29" t="n">
        <x:v>0</x:v>
      </x:c>
      <x:c r="D56" s="29" t="n">
        <x:v>5</x:v>
      </x:c>
      <x:c r="E56" s="29" t="n">
        <x:v>6</x:v>
      </x:c>
      <x:c r="F56" s="29" t="n">
        <x:v>245</x:v>
      </x:c>
      <x:c r="G56" s="30" t="n">
        <x:f>C56/B56</x:f>
        <x:v>0</x:v>
      </x:c>
      <x:c r="H56" s="30" t="n">
        <x:f>D56/B56</x:f>
        <x:v>0.01953125</x:v>
      </x:c>
      <x:c r="I56" s="30" t="n">
        <x:f>E56/B56</x:f>
        <x:v>0.0234375</x:v>
      </x:c>
      <x:c r="J56" s="30" t="n">
        <x:f>F56/B56</x:f>
        <x:v>0.95703125</x:v>
      </x:c>
      <x:c r="K56" s="30" t="n">
        <x:f>J56</x:f>
        <x:v>0.95703125</x:v>
      </x:c>
      <x:c r="L56" s="30" t="n">
        <x:f>0.5*(ABS(G56-0.0)+ABS(H56-0.0)+ABS(I56-0.0)+ABS(J56-1.0))</x:f>
        <x:v>0.04296875</x:v>
      </x:c>
    </x:row>
    <x:row r="57">
      <x:c r="A57" s="29" t="n">
        <x:v>54</x:v>
      </x:c>
      <x:c r="B57" s="29" t="n">
        <x:v>256</x:v>
      </x:c>
      <x:c r="C57" s="29" t="n">
        <x:v>1</x:v>
      </x:c>
      <x:c r="D57" s="29" t="n">
        <x:v>8</x:v>
      </x:c>
      <x:c r="E57" s="29" t="n">
        <x:v>4</x:v>
      </x:c>
      <x:c r="F57" s="29" t="n">
        <x:v>243</x:v>
      </x:c>
      <x:c r="G57" s="30" t="n">
        <x:f>C57/B57</x:f>
        <x:v>0.00390625</x:v>
      </x:c>
      <x:c r="H57" s="30" t="n">
        <x:f>D57/B57</x:f>
        <x:v>0.03125</x:v>
      </x:c>
      <x:c r="I57" s="30" t="n">
        <x:f>E57/B57</x:f>
        <x:v>0.015625</x:v>
      </x:c>
      <x:c r="J57" s="30" t="n">
        <x:f>F57/B57</x:f>
        <x:v>0.94921875</x:v>
      </x:c>
      <x:c r="K57" s="30" t="n">
        <x:f>J57</x:f>
        <x:v>0.94921875</x:v>
      </x:c>
      <x:c r="L57" s="30" t="n">
        <x:f>0.5*(ABS(G57-0.0)+ABS(H57-0.0)+ABS(I57-0.0)+ABS(J57-1.0))</x:f>
        <x:v>0.05078125</x:v>
      </x:c>
    </x:row>
    <x:row r="58">
      <x:c r="A58" s="29" t="n">
        <x:v>55</x:v>
      </x:c>
      <x:c r="B58" s="29" t="n">
        <x:v>256</x:v>
      </x:c>
      <x:c r="C58" s="29" t="n">
        <x:v>2</x:v>
      </x:c>
      <x:c r="D58" s="29" t="n">
        <x:v>7</x:v>
      </x:c>
      <x:c r="E58" s="29" t="n">
        <x:v>6</x:v>
      </x:c>
      <x:c r="F58" s="29" t="n">
        <x:v>241</x:v>
      </x:c>
      <x:c r="G58" s="30" t="n">
        <x:f>C58/B58</x:f>
        <x:v>0.0078125</x:v>
      </x:c>
      <x:c r="H58" s="30" t="n">
        <x:f>D58/B58</x:f>
        <x:v>0.02734375</x:v>
      </x:c>
      <x:c r="I58" s="30" t="n">
        <x:f>E58/B58</x:f>
        <x:v>0.0234375</x:v>
      </x:c>
      <x:c r="J58" s="30" t="n">
        <x:f>F58/B58</x:f>
        <x:v>0.94140625</x:v>
      </x:c>
      <x:c r="K58" s="30" t="n">
        <x:f>J58</x:f>
        <x:v>0.94140625</x:v>
      </x:c>
      <x:c r="L58" s="30" t="n">
        <x:f>0.5*(ABS(G58-0.0)+ABS(H58-0.0)+ABS(I58-0.0)+ABS(J58-1.0))</x:f>
        <x:v>0.05859375</x:v>
      </x:c>
    </x:row>
    <x:row r="59">
      <x:c r="A59" s="29" t="n">
        <x:v>56</x:v>
      </x:c>
      <x:c r="B59" s="29" t="n">
        <x:v>256</x:v>
      </x:c>
      <x:c r="C59" s="29" t="n">
        <x:v>2</x:v>
      </x:c>
      <x:c r="D59" s="29" t="n">
        <x:v>7</x:v>
      </x:c>
      <x:c r="E59" s="29" t="n">
        <x:v>4</x:v>
      </x:c>
      <x:c r="F59" s="29" t="n">
        <x:v>243</x:v>
      </x:c>
      <x:c r="G59" s="30" t="n">
        <x:f>C59/B59</x:f>
        <x:v>0.0078125</x:v>
      </x:c>
      <x:c r="H59" s="30" t="n">
        <x:f>D59/B59</x:f>
        <x:v>0.02734375</x:v>
      </x:c>
      <x:c r="I59" s="30" t="n">
        <x:f>E59/B59</x:f>
        <x:v>0.015625</x:v>
      </x:c>
      <x:c r="J59" s="30" t="n">
        <x:f>F59/B59</x:f>
        <x:v>0.94921875</x:v>
      </x:c>
      <x:c r="K59" s="30" t="n">
        <x:f>J59</x:f>
        <x:v>0.94921875</x:v>
      </x:c>
      <x:c r="L59" s="30" t="n">
        <x:f>0.5*(ABS(G59-0.0)+ABS(H59-0.0)+ABS(I59-0.0)+ABS(J59-1.0))</x:f>
        <x:v>0.05078125</x:v>
      </x:c>
    </x:row>
    <x:row r="60">
      <x:c r="A60" s="29" t="n">
        <x:v>57</x:v>
      </x:c>
      <x:c r="B60" s="29" t="n">
        <x:v>256</x:v>
      </x:c>
      <x:c r="C60" s="29" t="n">
        <x:v>1</x:v>
      </x:c>
      <x:c r="D60" s="29" t="n">
        <x:v>5</x:v>
      </x:c>
      <x:c r="E60" s="29" t="n">
        <x:v>6</x:v>
      </x:c>
      <x:c r="F60" s="29" t="n">
        <x:v>244</x:v>
      </x:c>
      <x:c r="G60" s="30" t="n">
        <x:f>C60/B60</x:f>
        <x:v>0.00390625</x:v>
      </x:c>
      <x:c r="H60" s="30" t="n">
        <x:f>D60/B60</x:f>
        <x:v>0.01953125</x:v>
      </x:c>
      <x:c r="I60" s="30" t="n">
        <x:f>E60/B60</x:f>
        <x:v>0.0234375</x:v>
      </x:c>
      <x:c r="J60" s="30" t="n">
        <x:f>F60/B60</x:f>
        <x:v>0.953125</x:v>
      </x:c>
      <x:c r="K60" s="30" t="n">
        <x:f>J60</x:f>
        <x:v>0.953125</x:v>
      </x:c>
      <x:c r="L60" s="30" t="n">
        <x:f>0.5*(ABS(G60-0.0)+ABS(H60-0.0)+ABS(I60-0.0)+ABS(J60-1.0))</x:f>
        <x:v>0.046875</x:v>
      </x:c>
    </x:row>
    <x:row r="61">
      <x:c r="A61" s="29" t="n">
        <x:v>58</x:v>
      </x:c>
      <x:c r="B61" s="29" t="n">
        <x:v>256</x:v>
      </x:c>
      <x:c r="C61" s="29" t="n">
        <x:v>2</x:v>
      </x:c>
      <x:c r="D61" s="29" t="n">
        <x:v>6</x:v>
      </x:c>
      <x:c r="E61" s="29" t="n">
        <x:v>8</x:v>
      </x:c>
      <x:c r="F61" s="29" t="n">
        <x:v>240</x:v>
      </x:c>
      <x:c r="G61" s="30" t="n">
        <x:f>C61/B61</x:f>
        <x:v>0.0078125</x:v>
      </x:c>
      <x:c r="H61" s="30" t="n">
        <x:f>D61/B61</x:f>
        <x:v>0.0234375</x:v>
      </x:c>
      <x:c r="I61" s="30" t="n">
        <x:f>E61/B61</x:f>
        <x:v>0.03125</x:v>
      </x:c>
      <x:c r="J61" s="30" t="n">
        <x:f>F61/B61</x:f>
        <x:v>0.9375</x:v>
      </x:c>
      <x:c r="K61" s="30" t="n">
        <x:f>J61</x:f>
        <x:v>0.9375</x:v>
      </x:c>
      <x:c r="L61" s="30" t="n">
        <x:f>0.5*(ABS(G61-0.0)+ABS(H61-0.0)+ABS(I61-0.0)+ABS(J61-1.0))</x:f>
        <x:v>0.0625</x:v>
      </x:c>
    </x:row>
    <x:row r="62">
      <x:c r="A62" s="29" t="n">
        <x:v>59</x:v>
      </x:c>
      <x:c r="B62" s="29" t="n">
        <x:v>256</x:v>
      </x:c>
      <x:c r="C62" s="29" t="n">
        <x:v>1</x:v>
      </x:c>
      <x:c r="D62" s="29" t="n">
        <x:v>2</x:v>
      </x:c>
      <x:c r="E62" s="29" t="n">
        <x:v>5</x:v>
      </x:c>
      <x:c r="F62" s="29" t="n">
        <x:v>248</x:v>
      </x:c>
      <x:c r="G62" s="30" t="n">
        <x:f>C62/B62</x:f>
        <x:v>0.00390625</x:v>
      </x:c>
      <x:c r="H62" s="30" t="n">
        <x:f>D62/B62</x:f>
        <x:v>0.0078125</x:v>
      </x:c>
      <x:c r="I62" s="30" t="n">
        <x:f>E62/B62</x:f>
        <x:v>0.01953125</x:v>
      </x:c>
      <x:c r="J62" s="30" t="n">
        <x:f>F62/B62</x:f>
        <x:v>0.96875</x:v>
      </x:c>
      <x:c r="K62" s="30" t="n">
        <x:f>J62</x:f>
        <x:v>0.96875</x:v>
      </x:c>
      <x:c r="L62" s="30" t="n">
        <x:f>0.5*(ABS(G62-0.0)+ABS(H62-0.0)+ABS(I62-0.0)+ABS(J62-1.0))</x:f>
        <x:v>0.03125</x:v>
      </x:c>
    </x:row>
    <x:row r="63">
      <x:c r="A63" s="29" t="n">
        <x:v>60</x:v>
      </x:c>
      <x:c r="B63" s="29" t="n">
        <x:v>256</x:v>
      </x:c>
      <x:c r="C63" s="29" t="n">
        <x:v>1</x:v>
      </x:c>
      <x:c r="D63" s="29" t="n">
        <x:v>1</x:v>
      </x:c>
      <x:c r="E63" s="29" t="n">
        <x:v>4</x:v>
      </x:c>
      <x:c r="F63" s="29" t="n">
        <x:v>250</x:v>
      </x:c>
      <x:c r="G63" s="30" t="n">
        <x:f>C63/B63</x:f>
        <x:v>0.00390625</x:v>
      </x:c>
      <x:c r="H63" s="30" t="n">
        <x:f>D63/B63</x:f>
        <x:v>0.00390625</x:v>
      </x:c>
      <x:c r="I63" s="30" t="n">
        <x:f>E63/B63</x:f>
        <x:v>0.015625</x:v>
      </x:c>
      <x:c r="J63" s="30" t="n">
        <x:f>F63/B63</x:f>
        <x:v>0.9765625</x:v>
      </x:c>
      <x:c r="K63" s="30" t="n">
        <x:f>J63</x:f>
        <x:v>0.9765625</x:v>
      </x:c>
      <x:c r="L63" s="30" t="n">
        <x:f>0.5*(ABS(G63-0.0)+ABS(H63-0.0)+ABS(I63-0.0)+ABS(J63-1.0))</x:f>
        <x:v>0.0234375</x:v>
      </x:c>
    </x:row>
    <x:row r="64">
      <x:c r="A64" s="29" t="n">
        <x:v>61</x:v>
      </x:c>
      <x:c r="B64" s="29" t="n">
        <x:v>256</x:v>
      </x:c>
      <x:c r="C64" s="29" t="n">
        <x:v>1</x:v>
      </x:c>
      <x:c r="D64" s="29" t="n">
        <x:v>1</x:v>
      </x:c>
      <x:c r="E64" s="29" t="n">
        <x:v>5</x:v>
      </x:c>
      <x:c r="F64" s="29" t="n">
        <x:v>249</x:v>
      </x:c>
      <x:c r="G64" s="30" t="n">
        <x:f>C64/B64</x:f>
        <x:v>0.00390625</x:v>
      </x:c>
      <x:c r="H64" s="30" t="n">
        <x:f>D64/B64</x:f>
        <x:v>0.00390625</x:v>
      </x:c>
      <x:c r="I64" s="30" t="n">
        <x:f>E64/B64</x:f>
        <x:v>0.01953125</x:v>
      </x:c>
      <x:c r="J64" s="30" t="n">
        <x:f>F64/B64</x:f>
        <x:v>0.97265625</x:v>
      </x:c>
      <x:c r="K64" s="30" t="n">
        <x:f>J64</x:f>
        <x:v>0.97265625</x:v>
      </x:c>
      <x:c r="L64" s="30" t="n">
        <x:f>0.5*(ABS(G64-0.0)+ABS(H64-0.0)+ABS(I64-0.0)+ABS(J64-1.0))</x:f>
        <x:v>0.02734375</x:v>
      </x:c>
    </x:row>
    <x:row r="65">
      <x:c r="A65" s="29" t="n">
        <x:v>62</x:v>
      </x:c>
      <x:c r="B65" s="29" t="n">
        <x:v>256</x:v>
      </x:c>
      <x:c r="C65" s="29" t="n">
        <x:v>1</x:v>
      </x:c>
      <x:c r="D65" s="29" t="n">
        <x:v>5</x:v>
      </x:c>
      <x:c r="E65" s="29" t="n">
        <x:v>4</x:v>
      </x:c>
      <x:c r="F65" s="29" t="n">
        <x:v>246</x:v>
      </x:c>
      <x:c r="G65" s="30" t="n">
        <x:f>C65/B65</x:f>
        <x:v>0.00390625</x:v>
      </x:c>
      <x:c r="H65" s="30" t="n">
        <x:f>D65/B65</x:f>
        <x:v>0.01953125</x:v>
      </x:c>
      <x:c r="I65" s="30" t="n">
        <x:f>E65/B65</x:f>
        <x:v>0.015625</x:v>
      </x:c>
      <x:c r="J65" s="30" t="n">
        <x:f>F65/B65</x:f>
        <x:v>0.9609375</x:v>
      </x:c>
      <x:c r="K65" s="30" t="n">
        <x:f>J65</x:f>
        <x:v>0.9609375</x:v>
      </x:c>
      <x:c r="L65" s="30" t="n">
        <x:f>0.5*(ABS(G65-0.0)+ABS(H65-0.0)+ABS(I65-0.0)+ABS(J65-1.0))</x:f>
        <x:v>0.0390625</x:v>
      </x:c>
    </x:row>
    <x:row r="66">
      <x:c r="A66" s="29" t="n">
        <x:v>63</x:v>
      </x:c>
      <x:c r="B66" s="29" t="n">
        <x:v>256</x:v>
      </x:c>
      <x:c r="C66" s="29" t="n">
        <x:v>1</x:v>
      </x:c>
      <x:c r="D66" s="29" t="n">
        <x:v>6</x:v>
      </x:c>
      <x:c r="E66" s="29" t="n">
        <x:v>8</x:v>
      </x:c>
      <x:c r="F66" s="29" t="n">
        <x:v>241</x:v>
      </x:c>
      <x:c r="G66" s="30" t="n">
        <x:f>C66/B66</x:f>
        <x:v>0.00390625</x:v>
      </x:c>
      <x:c r="H66" s="30" t="n">
        <x:f>D66/B66</x:f>
        <x:v>0.0234375</x:v>
      </x:c>
      <x:c r="I66" s="30" t="n">
        <x:f>E66/B66</x:f>
        <x:v>0.03125</x:v>
      </x:c>
      <x:c r="J66" s="30" t="n">
        <x:f>F66/B66</x:f>
        <x:v>0.94140625</x:v>
      </x:c>
      <x:c r="K66" s="30" t="n">
        <x:f>J66</x:f>
        <x:v>0.94140625</x:v>
      </x:c>
      <x:c r="L66" s="30" t="n">
        <x:f>0.5*(ABS(G66-0.0)+ABS(H66-0.0)+ABS(I66-0.0)+ABS(J66-1.0))</x:f>
        <x:v>0.05859375</x:v>
      </x:c>
    </x:row>
    <x:row r="67">
      <x:c r="A67" s="29" t="n">
        <x:v>64</x:v>
      </x:c>
      <x:c r="B67" s="29" t="n">
        <x:v>256</x:v>
      </x:c>
      <x:c r="C67" s="29" t="n">
        <x:v>2</x:v>
      </x:c>
      <x:c r="D67" s="29" t="n">
        <x:v>5</x:v>
      </x:c>
      <x:c r="E67" s="29" t="n">
        <x:v>0</x:v>
      </x:c>
      <x:c r="F67" s="29" t="n">
        <x:v>249</x:v>
      </x:c>
      <x:c r="G67" s="30" t="n">
        <x:f>C67/B67</x:f>
        <x:v>0.0078125</x:v>
      </x:c>
      <x:c r="H67" s="30" t="n">
        <x:f>D67/B67</x:f>
        <x:v>0.01953125</x:v>
      </x:c>
      <x:c r="I67" s="30" t="n">
        <x:f>E67/B67</x:f>
        <x:v>0</x:v>
      </x:c>
      <x:c r="J67" s="30" t="n">
        <x:f>F67/B67</x:f>
        <x:v>0.97265625</x:v>
      </x:c>
      <x:c r="K67" s="30" t="n">
        <x:f>J67</x:f>
        <x:v>0.97265625</x:v>
      </x:c>
      <x:c r="L67" s="30" t="n">
        <x:f>0.5*(ABS(G67-0.0)+ABS(H67-0.0)+ABS(I67-0.0)+ABS(J67-1.0))</x:f>
        <x:v>0.02734375</x:v>
      </x:c>
    </x:row>
    <x:row r="68">
      <x:c r="A68" s="29" t="n">
        <x:v>65</x:v>
      </x:c>
      <x:c r="B68" s="29" t="n">
        <x:v>256</x:v>
      </x:c>
      <x:c r="C68" s="29" t="n">
        <x:v>2</x:v>
      </x:c>
      <x:c r="D68" s="29" t="n">
        <x:v>4</x:v>
      </x:c>
      <x:c r="E68" s="29" t="n">
        <x:v>2</x:v>
      </x:c>
      <x:c r="F68" s="29" t="n">
        <x:v>248</x:v>
      </x:c>
      <x:c r="G68" s="30" t="n">
        <x:f>C68/B68</x:f>
        <x:v>0.0078125</x:v>
      </x:c>
      <x:c r="H68" s="30" t="n">
        <x:f>D68/B68</x:f>
        <x:v>0.015625</x:v>
      </x:c>
      <x:c r="I68" s="30" t="n">
        <x:f>E68/B68</x:f>
        <x:v>0.0078125</x:v>
      </x:c>
      <x:c r="J68" s="30" t="n">
        <x:f>F68/B68</x:f>
        <x:v>0.96875</x:v>
      </x:c>
      <x:c r="K68" s="30" t="n">
        <x:f>J68</x:f>
        <x:v>0.96875</x:v>
      </x:c>
      <x:c r="L68" s="30" t="n">
        <x:f>0.5*(ABS(G68-0.0)+ABS(H68-0.0)+ABS(I68-0.0)+ABS(J68-1.0))</x:f>
        <x:v>0.03125</x:v>
      </x:c>
    </x:row>
    <x:row r="69">
      <x:c r="A69" s="29" t="n">
        <x:v>66</x:v>
      </x:c>
      <x:c r="B69" s="29" t="n">
        <x:v>256</x:v>
      </x:c>
      <x:c r="C69" s="29" t="n">
        <x:v>0</x:v>
      </x:c>
      <x:c r="D69" s="29" t="n">
        <x:v>1</x:v>
      </x:c>
      <x:c r="E69" s="29" t="n">
        <x:v>7</x:v>
      </x:c>
      <x:c r="F69" s="29" t="n">
        <x:v>248</x:v>
      </x:c>
      <x:c r="G69" s="30" t="n">
        <x:f>C69/B69</x:f>
        <x:v>0</x:v>
      </x:c>
      <x:c r="H69" s="30" t="n">
        <x:f>D69/B69</x:f>
        <x:v>0.00390625</x:v>
      </x:c>
      <x:c r="I69" s="30" t="n">
        <x:f>E69/B69</x:f>
        <x:v>0.02734375</x:v>
      </x:c>
      <x:c r="J69" s="30" t="n">
        <x:f>F69/B69</x:f>
        <x:v>0.96875</x:v>
      </x:c>
      <x:c r="K69" s="30" t="n">
        <x:f>J69</x:f>
        <x:v>0.96875</x:v>
      </x:c>
      <x:c r="L69" s="30" t="n">
        <x:f>0.5*(ABS(G69-0.0)+ABS(H69-0.0)+ABS(I69-0.0)+ABS(J69-1.0))</x:f>
        <x:v>0.03125</x:v>
      </x:c>
    </x:row>
    <x:row r="70">
      <x:c r="A70" s="29" t="n">
        <x:v>67</x:v>
      </x:c>
      <x:c r="B70" s="29" t="n">
        <x:v>256</x:v>
      </x:c>
      <x:c r="C70" s="29" t="n">
        <x:v>0</x:v>
      </x:c>
      <x:c r="D70" s="29" t="n">
        <x:v>7</x:v>
      </x:c>
      <x:c r="E70" s="29" t="n">
        <x:v>6</x:v>
      </x:c>
      <x:c r="F70" s="29" t="n">
        <x:v>243</x:v>
      </x:c>
      <x:c r="G70" s="30" t="n">
        <x:f>C70/B70</x:f>
        <x:v>0</x:v>
      </x:c>
      <x:c r="H70" s="30" t="n">
        <x:f>D70/B70</x:f>
        <x:v>0.02734375</x:v>
      </x:c>
      <x:c r="I70" s="30" t="n">
        <x:f>E70/B70</x:f>
        <x:v>0.0234375</x:v>
      </x:c>
      <x:c r="J70" s="30" t="n">
        <x:f>F70/B70</x:f>
        <x:v>0.94921875</x:v>
      </x:c>
      <x:c r="K70" s="30" t="n">
        <x:f>J70</x:f>
        <x:v>0.94921875</x:v>
      </x:c>
      <x:c r="L70" s="30" t="n">
        <x:f>0.5*(ABS(G70-0.0)+ABS(H70-0.0)+ABS(I70-0.0)+ABS(J70-1.0))</x:f>
        <x:v>0.05078125</x:v>
      </x:c>
    </x:row>
    <x:row r="71">
      <x:c r="A71" s="29" t="n">
        <x:v>68</x:v>
      </x:c>
      <x:c r="B71" s="29" t="n">
        <x:v>256</x:v>
      </x:c>
      <x:c r="C71" s="29" t="n">
        <x:v>0</x:v>
      </x:c>
      <x:c r="D71" s="29" t="n">
        <x:v>4</x:v>
      </x:c>
      <x:c r="E71" s="29" t="n">
        <x:v>4</x:v>
      </x:c>
      <x:c r="F71" s="29" t="n">
        <x:v>248</x:v>
      </x:c>
      <x:c r="G71" s="30" t="n">
        <x:f>C71/B71</x:f>
        <x:v>0</x:v>
      </x:c>
      <x:c r="H71" s="30" t="n">
        <x:f>D71/B71</x:f>
        <x:v>0.015625</x:v>
      </x:c>
      <x:c r="I71" s="30" t="n">
        <x:f>E71/B71</x:f>
        <x:v>0.015625</x:v>
      </x:c>
      <x:c r="J71" s="30" t="n">
        <x:f>F71/B71</x:f>
        <x:v>0.96875</x:v>
      </x:c>
      <x:c r="K71" s="30" t="n">
        <x:f>J71</x:f>
        <x:v>0.96875</x:v>
      </x:c>
      <x:c r="L71" s="30" t="n">
        <x:f>0.5*(ABS(G71-0.0)+ABS(H71-0.0)+ABS(I71-0.0)+ABS(J71-1.0))</x:f>
        <x:v>0.03125</x:v>
      </x:c>
    </x:row>
    <x:row r="72">
      <x:c r="A72" s="29" t="n">
        <x:v>69</x:v>
      </x:c>
      <x:c r="B72" s="29" t="n">
        <x:v>256</x:v>
      </x:c>
      <x:c r="C72" s="29" t="n">
        <x:v>1</x:v>
      </x:c>
      <x:c r="D72" s="29" t="n">
        <x:v>7</x:v>
      </x:c>
      <x:c r="E72" s="29" t="n">
        <x:v>1</x:v>
      </x:c>
      <x:c r="F72" s="29" t="n">
        <x:v>247</x:v>
      </x:c>
      <x:c r="G72" s="30" t="n">
        <x:f>C72/B72</x:f>
        <x:v>0.00390625</x:v>
      </x:c>
      <x:c r="H72" s="30" t="n">
        <x:f>D72/B72</x:f>
        <x:v>0.02734375</x:v>
      </x:c>
      <x:c r="I72" s="30" t="n">
        <x:f>E72/B72</x:f>
        <x:v>0.00390625</x:v>
      </x:c>
      <x:c r="J72" s="30" t="n">
        <x:f>F72/B72</x:f>
        <x:v>0.96484375</x:v>
      </x:c>
      <x:c r="K72" s="30" t="n">
        <x:f>J72</x:f>
        <x:v>0.96484375</x:v>
      </x:c>
      <x:c r="L72" s="30" t="n">
        <x:f>0.5*(ABS(G72-0.0)+ABS(H72-0.0)+ABS(I72-0.0)+ABS(J72-1.0))</x:f>
        <x:v>0.03515625</x:v>
      </x:c>
    </x:row>
    <x:row r="73">
      <x:c r="A73" s="29" t="n">
        <x:v>70</x:v>
      </x:c>
      <x:c r="B73" s="29" t="n">
        <x:v>256</x:v>
      </x:c>
      <x:c r="C73" s="29" t="n">
        <x:v>2</x:v>
      </x:c>
      <x:c r="D73" s="29" t="n">
        <x:v>5</x:v>
      </x:c>
      <x:c r="E73" s="29" t="n">
        <x:v>4</x:v>
      </x:c>
      <x:c r="F73" s="29" t="n">
        <x:v>245</x:v>
      </x:c>
      <x:c r="G73" s="30" t="n">
        <x:f>C73/B73</x:f>
        <x:v>0.0078125</x:v>
      </x:c>
      <x:c r="H73" s="30" t="n">
        <x:f>D73/B73</x:f>
        <x:v>0.01953125</x:v>
      </x:c>
      <x:c r="I73" s="30" t="n">
        <x:f>E73/B73</x:f>
        <x:v>0.015625</x:v>
      </x:c>
      <x:c r="J73" s="30" t="n">
        <x:f>F73/B73</x:f>
        <x:v>0.95703125</x:v>
      </x:c>
      <x:c r="K73" s="30" t="n">
        <x:f>J73</x:f>
        <x:v>0.95703125</x:v>
      </x:c>
      <x:c r="L73" s="30" t="n">
        <x:f>0.5*(ABS(G73-0.0)+ABS(H73-0.0)+ABS(I73-0.0)+ABS(J73-1.0))</x:f>
        <x:v>0.04296875</x:v>
      </x:c>
    </x:row>
    <x:row r="74">
      <x:c r="A74" s="29" t="n">
        <x:v>71</x:v>
      </x:c>
      <x:c r="B74" s="29" t="n">
        <x:v>256</x:v>
      </x:c>
      <x:c r="C74" s="29" t="n">
        <x:v>0</x:v>
      </x:c>
      <x:c r="D74" s="29" t="n">
        <x:v>9</x:v>
      </x:c>
      <x:c r="E74" s="29" t="n">
        <x:v>4</x:v>
      </x:c>
      <x:c r="F74" s="29" t="n">
        <x:v>243</x:v>
      </x:c>
      <x:c r="G74" s="30" t="n">
        <x:f>C74/B74</x:f>
        <x:v>0</x:v>
      </x:c>
      <x:c r="H74" s="30" t="n">
        <x:f>D74/B74</x:f>
        <x:v>0.03515625</x:v>
      </x:c>
      <x:c r="I74" s="30" t="n">
        <x:f>E74/B74</x:f>
        <x:v>0.015625</x:v>
      </x:c>
      <x:c r="J74" s="30" t="n">
        <x:f>F74/B74</x:f>
        <x:v>0.94921875</x:v>
      </x:c>
      <x:c r="K74" s="30" t="n">
        <x:f>J74</x:f>
        <x:v>0.94921875</x:v>
      </x:c>
      <x:c r="L74" s="30" t="n">
        <x:f>0.5*(ABS(G74-0.0)+ABS(H74-0.0)+ABS(I74-0.0)+ABS(J74-1.0))</x:f>
        <x:v>0.05078125</x:v>
      </x:c>
    </x:row>
    <x:row r="75">
      <x:c r="A75" s="29" t="n">
        <x:v>72</x:v>
      </x:c>
      <x:c r="B75" s="29" t="n">
        <x:v>256</x:v>
      </x:c>
      <x:c r="C75" s="29" t="n">
        <x:v>0</x:v>
      </x:c>
      <x:c r="D75" s="29" t="n">
        <x:v>6</x:v>
      </x:c>
      <x:c r="E75" s="29" t="n">
        <x:v>3</x:v>
      </x:c>
      <x:c r="F75" s="29" t="n">
        <x:v>247</x:v>
      </x:c>
      <x:c r="G75" s="30" t="n">
        <x:f>C75/B75</x:f>
        <x:v>0</x:v>
      </x:c>
      <x:c r="H75" s="30" t="n">
        <x:f>D75/B75</x:f>
        <x:v>0.0234375</x:v>
      </x:c>
      <x:c r="I75" s="30" t="n">
        <x:f>E75/B75</x:f>
        <x:v>0.01171875</x:v>
      </x:c>
      <x:c r="J75" s="30" t="n">
        <x:f>F75/B75</x:f>
        <x:v>0.96484375</x:v>
      </x:c>
      <x:c r="K75" s="30" t="n">
        <x:f>J75</x:f>
        <x:v>0.96484375</x:v>
      </x:c>
      <x:c r="L75" s="30" t="n">
        <x:f>0.5*(ABS(G75-0.0)+ABS(H75-0.0)+ABS(I75-0.0)+ABS(J75-1.0))</x:f>
        <x:v>0.03515625</x:v>
      </x:c>
    </x:row>
    <x:row r="76">
      <x:c r="A76" s="29" t="n">
        <x:v>73</x:v>
      </x:c>
      <x:c r="B76" s="29" t="n">
        <x:v>256</x:v>
      </x:c>
      <x:c r="C76" s="29" t="n">
        <x:v>0</x:v>
      </x:c>
      <x:c r="D76" s="29" t="n">
        <x:v>4</x:v>
      </x:c>
      <x:c r="E76" s="29" t="n">
        <x:v>5</x:v>
      </x:c>
      <x:c r="F76" s="29" t="n">
        <x:v>247</x:v>
      </x:c>
      <x:c r="G76" s="30" t="n">
        <x:f>C76/B76</x:f>
        <x:v>0</x:v>
      </x:c>
      <x:c r="H76" s="30" t="n">
        <x:f>D76/B76</x:f>
        <x:v>0.015625</x:v>
      </x:c>
      <x:c r="I76" s="30" t="n">
        <x:f>E76/B76</x:f>
        <x:v>0.01953125</x:v>
      </x:c>
      <x:c r="J76" s="30" t="n">
        <x:f>F76/B76</x:f>
        <x:v>0.96484375</x:v>
      </x:c>
      <x:c r="K76" s="30" t="n">
        <x:f>J76</x:f>
        <x:v>0.96484375</x:v>
      </x:c>
      <x:c r="L76" s="30" t="n">
        <x:f>0.5*(ABS(G76-0.0)+ABS(H76-0.0)+ABS(I76-0.0)+ABS(J76-1.0))</x:f>
        <x:v>0.03515625</x:v>
      </x:c>
    </x:row>
    <x:row r="77">
      <x:c r="A77" s="29" t="n">
        <x:v>74</x:v>
      </x:c>
      <x:c r="B77" s="29" t="n">
        <x:v>256</x:v>
      </x:c>
      <x:c r="C77" s="29" t="n">
        <x:v>0</x:v>
      </x:c>
      <x:c r="D77" s="29" t="n">
        <x:v>3</x:v>
      </x:c>
      <x:c r="E77" s="29" t="n">
        <x:v>5</x:v>
      </x:c>
      <x:c r="F77" s="29" t="n">
        <x:v>248</x:v>
      </x:c>
      <x:c r="G77" s="30" t="n">
        <x:f>C77/B77</x:f>
        <x:v>0</x:v>
      </x:c>
      <x:c r="H77" s="30" t="n">
        <x:f>D77/B77</x:f>
        <x:v>0.01171875</x:v>
      </x:c>
      <x:c r="I77" s="30" t="n">
        <x:f>E77/B77</x:f>
        <x:v>0.01953125</x:v>
      </x:c>
      <x:c r="J77" s="30" t="n">
        <x:f>F77/B77</x:f>
        <x:v>0.96875</x:v>
      </x:c>
      <x:c r="K77" s="30" t="n">
        <x:f>J77</x:f>
        <x:v>0.96875</x:v>
      </x:c>
      <x:c r="L77" s="30" t="n">
        <x:f>0.5*(ABS(G77-0.0)+ABS(H77-0.0)+ABS(I77-0.0)+ABS(J77-1.0))</x:f>
        <x:v>0.03125</x:v>
      </x:c>
    </x:row>
    <x:row r="78">
      <x:c r="A78" s="29" t="n">
        <x:v>75</x:v>
      </x:c>
      <x:c r="B78" s="29" t="n">
        <x:v>256</x:v>
      </x:c>
      <x:c r="C78" s="29" t="n">
        <x:v>2</x:v>
      </x:c>
      <x:c r="D78" s="29" t="n">
        <x:v>4</x:v>
      </x:c>
      <x:c r="E78" s="29" t="n">
        <x:v>3</x:v>
      </x:c>
      <x:c r="F78" s="29" t="n">
        <x:v>247</x:v>
      </x:c>
      <x:c r="G78" s="30" t="n">
        <x:f>C78/B78</x:f>
        <x:v>0.0078125</x:v>
      </x:c>
      <x:c r="H78" s="30" t="n">
        <x:f>D78/B78</x:f>
        <x:v>0.015625</x:v>
      </x:c>
      <x:c r="I78" s="30" t="n">
        <x:f>E78/B78</x:f>
        <x:v>0.01171875</x:v>
      </x:c>
      <x:c r="J78" s="30" t="n">
        <x:f>F78/B78</x:f>
        <x:v>0.96484375</x:v>
      </x:c>
      <x:c r="K78" s="30" t="n">
        <x:f>J78</x:f>
        <x:v>0.96484375</x:v>
      </x:c>
      <x:c r="L78" s="30" t="n">
        <x:f>0.5*(ABS(G78-0.0)+ABS(H78-0.0)+ABS(I78-0.0)+ABS(J78-1.0))</x:f>
        <x:v>0.03515625</x:v>
      </x:c>
    </x:row>
    <x:row r="79">
      <x:c r="A79" s="29" t="n">
        <x:v>76</x:v>
      </x:c>
      <x:c r="B79" s="29" t="n">
        <x:v>256</x:v>
      </x:c>
      <x:c r="C79" s="29" t="n">
        <x:v>0</x:v>
      </x:c>
      <x:c r="D79" s="29" t="n">
        <x:v>5</x:v>
      </x:c>
      <x:c r="E79" s="29" t="n">
        <x:v>4</x:v>
      </x:c>
      <x:c r="F79" s="29" t="n">
        <x:v>247</x:v>
      </x:c>
      <x:c r="G79" s="30" t="n">
        <x:f>C79/B79</x:f>
        <x:v>0</x:v>
      </x:c>
      <x:c r="H79" s="30" t="n">
        <x:f>D79/B79</x:f>
        <x:v>0.01953125</x:v>
      </x:c>
      <x:c r="I79" s="30" t="n">
        <x:f>E79/B79</x:f>
        <x:v>0.015625</x:v>
      </x:c>
      <x:c r="J79" s="30" t="n">
        <x:f>F79/B79</x:f>
        <x:v>0.96484375</x:v>
      </x:c>
      <x:c r="K79" s="30" t="n">
        <x:f>J79</x:f>
        <x:v>0.96484375</x:v>
      </x:c>
      <x:c r="L79" s="30" t="n">
        <x:f>0.5*(ABS(G79-0.0)+ABS(H79-0.0)+ABS(I79-0.0)+ABS(J79-1.0))</x:f>
        <x:v>0.03515625</x:v>
      </x:c>
    </x:row>
    <x:row r="80">
      <x:c r="A80" s="29" t="n">
        <x:v>77</x:v>
      </x:c>
      <x:c r="B80" s="29" t="n">
        <x:v>256</x:v>
      </x:c>
      <x:c r="C80" s="29" t="n">
        <x:v>0</x:v>
      </x:c>
      <x:c r="D80" s="29" t="n">
        <x:v>5</x:v>
      </x:c>
      <x:c r="E80" s="29" t="n">
        <x:v>6</x:v>
      </x:c>
      <x:c r="F80" s="29" t="n">
        <x:v>245</x:v>
      </x:c>
      <x:c r="G80" s="30" t="n">
        <x:f>C80/B80</x:f>
        <x:v>0</x:v>
      </x:c>
      <x:c r="H80" s="30" t="n">
        <x:f>D80/B80</x:f>
        <x:v>0.01953125</x:v>
      </x:c>
      <x:c r="I80" s="30" t="n">
        <x:f>E80/B80</x:f>
        <x:v>0.0234375</x:v>
      </x:c>
      <x:c r="J80" s="30" t="n">
        <x:f>F80/B80</x:f>
        <x:v>0.95703125</x:v>
      </x:c>
      <x:c r="K80" s="30" t="n">
        <x:f>J80</x:f>
        <x:v>0.95703125</x:v>
      </x:c>
      <x:c r="L80" s="30" t="n">
        <x:f>0.5*(ABS(G80-0.0)+ABS(H80-0.0)+ABS(I80-0.0)+ABS(J80-1.0))</x:f>
        <x:v>0.04296875</x:v>
      </x:c>
    </x:row>
    <x:row r="81">
      <x:c r="A81" s="29" t="n">
        <x:v>78</x:v>
      </x:c>
      <x:c r="B81" s="29" t="n">
        <x:v>256</x:v>
      </x:c>
      <x:c r="C81" s="29" t="n">
        <x:v>2</x:v>
      </x:c>
      <x:c r="D81" s="29" t="n">
        <x:v>5</x:v>
      </x:c>
      <x:c r="E81" s="29" t="n">
        <x:v>4</x:v>
      </x:c>
      <x:c r="F81" s="29" t="n">
        <x:v>245</x:v>
      </x:c>
      <x:c r="G81" s="30" t="n">
        <x:f>C81/B81</x:f>
        <x:v>0.0078125</x:v>
      </x:c>
      <x:c r="H81" s="30" t="n">
        <x:f>D81/B81</x:f>
        <x:v>0.01953125</x:v>
      </x:c>
      <x:c r="I81" s="30" t="n">
        <x:f>E81/B81</x:f>
        <x:v>0.015625</x:v>
      </x:c>
      <x:c r="J81" s="30" t="n">
        <x:f>F81/B81</x:f>
        <x:v>0.95703125</x:v>
      </x:c>
      <x:c r="K81" s="30" t="n">
        <x:f>J81</x:f>
        <x:v>0.95703125</x:v>
      </x:c>
      <x:c r="L81" s="30" t="n">
        <x:f>0.5*(ABS(G81-0.0)+ABS(H81-0.0)+ABS(I81-0.0)+ABS(J81-1.0))</x:f>
        <x:v>0.04296875</x:v>
      </x:c>
    </x:row>
    <x:row r="82">
      <x:c r="A82" s="29" t="n">
        <x:v>79</x:v>
      </x:c>
      <x:c r="B82" s="29" t="n">
        <x:v>256</x:v>
      </x:c>
      <x:c r="C82" s="29" t="n">
        <x:v>1</x:v>
      </x:c>
      <x:c r="D82" s="29" t="n">
        <x:v>6</x:v>
      </x:c>
      <x:c r="E82" s="29" t="n">
        <x:v>4</x:v>
      </x:c>
      <x:c r="F82" s="29" t="n">
        <x:v>245</x:v>
      </x:c>
      <x:c r="G82" s="30" t="n">
        <x:f>C82/B82</x:f>
        <x:v>0.00390625</x:v>
      </x:c>
      <x:c r="H82" s="30" t="n">
        <x:f>D82/B82</x:f>
        <x:v>0.0234375</x:v>
      </x:c>
      <x:c r="I82" s="30" t="n">
        <x:f>E82/B82</x:f>
        <x:v>0.015625</x:v>
      </x:c>
      <x:c r="J82" s="30" t="n">
        <x:f>F82/B82</x:f>
        <x:v>0.95703125</x:v>
      </x:c>
      <x:c r="K82" s="30" t="n">
        <x:f>J82</x:f>
        <x:v>0.95703125</x:v>
      </x:c>
      <x:c r="L82" s="30" t="n">
        <x:f>0.5*(ABS(G82-0.0)+ABS(H82-0.0)+ABS(I82-0.0)+ABS(J82-1.0))</x:f>
        <x:v>0.04296875</x:v>
      </x:c>
    </x:row>
    <x:row r="83">
      <x:c r="A83" s="29" t="n">
        <x:v>80</x:v>
      </x:c>
      <x:c r="B83" s="29" t="n">
        <x:v>256</x:v>
      </x:c>
      <x:c r="C83" s="29" t="n">
        <x:v>0</x:v>
      </x:c>
      <x:c r="D83" s="29" t="n">
        <x:v>5</x:v>
      </x:c>
      <x:c r="E83" s="29" t="n">
        <x:v>8</x:v>
      </x:c>
      <x:c r="F83" s="29" t="n">
        <x:v>243</x:v>
      </x:c>
      <x:c r="G83" s="30" t="n">
        <x:f>C83/B83</x:f>
        <x:v>0</x:v>
      </x:c>
      <x:c r="H83" s="30" t="n">
        <x:f>D83/B83</x:f>
        <x:v>0.01953125</x:v>
      </x:c>
      <x:c r="I83" s="30" t="n">
        <x:f>E83/B83</x:f>
        <x:v>0.03125</x:v>
      </x:c>
      <x:c r="J83" s="30" t="n">
        <x:f>F83/B83</x:f>
        <x:v>0.94921875</x:v>
      </x:c>
      <x:c r="K83" s="30" t="n">
        <x:f>J83</x:f>
        <x:v>0.94921875</x:v>
      </x:c>
      <x:c r="L83" s="30" t="n">
        <x:f>0.5*(ABS(G83-0.0)+ABS(H83-0.0)+ABS(I83-0.0)+ABS(J83-1.0))</x:f>
        <x:v>0.05078125</x:v>
      </x:c>
    </x:row>
    <x:row r="84">
      <x:c r="A84" s="29" t="n">
        <x:v>81</x:v>
      </x:c>
      <x:c r="B84" s="29" t="n">
        <x:v>256</x:v>
      </x:c>
      <x:c r="C84" s="29" t="n">
        <x:v>2</x:v>
      </x:c>
      <x:c r="D84" s="29" t="n">
        <x:v>4</x:v>
      </x:c>
      <x:c r="E84" s="29" t="n">
        <x:v>7</x:v>
      </x:c>
      <x:c r="F84" s="29" t="n">
        <x:v>243</x:v>
      </x:c>
      <x:c r="G84" s="30" t="n">
        <x:f>C84/B84</x:f>
        <x:v>0.0078125</x:v>
      </x:c>
      <x:c r="H84" s="30" t="n">
        <x:f>D84/B84</x:f>
        <x:v>0.015625</x:v>
      </x:c>
      <x:c r="I84" s="30" t="n">
        <x:f>E84/B84</x:f>
        <x:v>0.02734375</x:v>
      </x:c>
      <x:c r="J84" s="30" t="n">
        <x:f>F84/B84</x:f>
        <x:v>0.94921875</x:v>
      </x:c>
      <x:c r="K84" s="30" t="n">
        <x:f>J84</x:f>
        <x:v>0.94921875</x:v>
      </x:c>
      <x:c r="L84" s="30" t="n">
        <x:f>0.5*(ABS(G84-0.0)+ABS(H84-0.0)+ABS(I84-0.0)+ABS(J84-1.0))</x:f>
        <x:v>0.05078125</x:v>
      </x:c>
    </x:row>
    <x:row r="85">
      <x:c r="A85" s="29" t="n">
        <x:v>82</x:v>
      </x:c>
      <x:c r="B85" s="29" t="n">
        <x:v>256</x:v>
      </x:c>
      <x:c r="C85" s="29" t="n">
        <x:v>2</x:v>
      </x:c>
      <x:c r="D85" s="29" t="n">
        <x:v>0</x:v>
      </x:c>
      <x:c r="E85" s="29" t="n">
        <x:v>5</x:v>
      </x:c>
      <x:c r="F85" s="29" t="n">
        <x:v>249</x:v>
      </x:c>
      <x:c r="G85" s="30" t="n">
        <x:f>C85/B85</x:f>
        <x:v>0.0078125</x:v>
      </x:c>
      <x:c r="H85" s="30" t="n">
        <x:f>D85/B85</x:f>
        <x:v>0</x:v>
      </x:c>
      <x:c r="I85" s="30" t="n">
        <x:f>E85/B85</x:f>
        <x:v>0.01953125</x:v>
      </x:c>
      <x:c r="J85" s="30" t="n">
        <x:f>F85/B85</x:f>
        <x:v>0.97265625</x:v>
      </x:c>
      <x:c r="K85" s="30" t="n">
        <x:f>J85</x:f>
        <x:v>0.97265625</x:v>
      </x:c>
      <x:c r="L85" s="30" t="n">
        <x:f>0.5*(ABS(G85-0.0)+ABS(H85-0.0)+ABS(I85-0.0)+ABS(J85-1.0))</x:f>
        <x:v>0.02734375</x:v>
      </x:c>
    </x:row>
    <x:row r="86">
      <x:c r="A86" s="29" t="n">
        <x:v>83</x:v>
      </x:c>
      <x:c r="B86" s="29" t="n">
        <x:v>256</x:v>
      </x:c>
      <x:c r="C86" s="29" t="n">
        <x:v>1</x:v>
      </x:c>
      <x:c r="D86" s="29" t="n">
        <x:v>6</x:v>
      </x:c>
      <x:c r="E86" s="29" t="n">
        <x:v>5</x:v>
      </x:c>
      <x:c r="F86" s="29" t="n">
        <x:v>244</x:v>
      </x:c>
      <x:c r="G86" s="30" t="n">
        <x:f>C86/B86</x:f>
        <x:v>0.00390625</x:v>
      </x:c>
      <x:c r="H86" s="30" t="n">
        <x:f>D86/B86</x:f>
        <x:v>0.0234375</x:v>
      </x:c>
      <x:c r="I86" s="30" t="n">
        <x:f>E86/B86</x:f>
        <x:v>0.01953125</x:v>
      </x:c>
      <x:c r="J86" s="30" t="n">
        <x:f>F86/B86</x:f>
        <x:v>0.953125</x:v>
      </x:c>
      <x:c r="K86" s="30" t="n">
        <x:f>J86</x:f>
        <x:v>0.953125</x:v>
      </x:c>
      <x:c r="L86" s="30" t="n">
        <x:f>0.5*(ABS(G86-0.0)+ABS(H86-0.0)+ABS(I86-0.0)+ABS(J86-1.0))</x:f>
        <x:v>0.046875</x:v>
      </x:c>
    </x:row>
    <x:row r="87">
      <x:c r="A87" s="29" t="n">
        <x:v>84</x:v>
      </x:c>
      <x:c r="B87" s="29" t="n">
        <x:v>256</x:v>
      </x:c>
      <x:c r="C87" s="29" t="n">
        <x:v>0</x:v>
      </x:c>
      <x:c r="D87" s="29" t="n">
        <x:v>3</x:v>
      </x:c>
      <x:c r="E87" s="29" t="n">
        <x:v>4</x:v>
      </x:c>
      <x:c r="F87" s="29" t="n">
        <x:v>249</x:v>
      </x:c>
      <x:c r="G87" s="30" t="n">
        <x:f>C87/B87</x:f>
        <x:v>0</x:v>
      </x:c>
      <x:c r="H87" s="30" t="n">
        <x:f>D87/B87</x:f>
        <x:v>0.01171875</x:v>
      </x:c>
      <x:c r="I87" s="30" t="n">
        <x:f>E87/B87</x:f>
        <x:v>0.015625</x:v>
      </x:c>
      <x:c r="J87" s="30" t="n">
        <x:f>F87/B87</x:f>
        <x:v>0.97265625</x:v>
      </x:c>
      <x:c r="K87" s="30" t="n">
        <x:f>J87</x:f>
        <x:v>0.97265625</x:v>
      </x:c>
      <x:c r="L87" s="30" t="n">
        <x:f>0.5*(ABS(G87-0.0)+ABS(H87-0.0)+ABS(I87-0.0)+ABS(J87-1.0))</x:f>
        <x:v>0.02734375</x:v>
      </x:c>
    </x:row>
    <x:row r="88">
      <x:c r="A88" s="29" t="n">
        <x:v>85</x:v>
      </x:c>
      <x:c r="B88" s="29" t="n">
        <x:v>256</x:v>
      </x:c>
      <x:c r="C88" s="29" t="n">
        <x:v>1</x:v>
      </x:c>
      <x:c r="D88" s="29" t="n">
        <x:v>6</x:v>
      </x:c>
      <x:c r="E88" s="29" t="n">
        <x:v>5</x:v>
      </x:c>
      <x:c r="F88" s="29" t="n">
        <x:v>244</x:v>
      </x:c>
      <x:c r="G88" s="30" t="n">
        <x:f>C88/B88</x:f>
        <x:v>0.00390625</x:v>
      </x:c>
      <x:c r="H88" s="30" t="n">
        <x:f>D88/B88</x:f>
        <x:v>0.0234375</x:v>
      </x:c>
      <x:c r="I88" s="30" t="n">
        <x:f>E88/B88</x:f>
        <x:v>0.01953125</x:v>
      </x:c>
      <x:c r="J88" s="30" t="n">
        <x:f>F88/B88</x:f>
        <x:v>0.953125</x:v>
      </x:c>
      <x:c r="K88" s="30" t="n">
        <x:f>J88</x:f>
        <x:v>0.953125</x:v>
      </x:c>
      <x:c r="L88" s="30" t="n">
        <x:f>0.5*(ABS(G88-0.0)+ABS(H88-0.0)+ABS(I88-0.0)+ABS(J88-1.0))</x:f>
        <x:v>0.046875</x:v>
      </x:c>
    </x:row>
    <x:row r="89">
      <x:c r="A89" s="29" t="n">
        <x:v>86</x:v>
      </x:c>
      <x:c r="B89" s="29" t="n">
        <x:v>256</x:v>
      </x:c>
      <x:c r="C89" s="29" t="n">
        <x:v>1</x:v>
      </x:c>
      <x:c r="D89" s="29" t="n">
        <x:v>6</x:v>
      </x:c>
      <x:c r="E89" s="29" t="n">
        <x:v>9</x:v>
      </x:c>
      <x:c r="F89" s="29" t="n">
        <x:v>240</x:v>
      </x:c>
      <x:c r="G89" s="30" t="n">
        <x:f>C89/B89</x:f>
        <x:v>0.00390625</x:v>
      </x:c>
      <x:c r="H89" s="30" t="n">
        <x:f>D89/B89</x:f>
        <x:v>0.0234375</x:v>
      </x:c>
      <x:c r="I89" s="30" t="n">
        <x:f>E89/B89</x:f>
        <x:v>0.03515625</x:v>
      </x:c>
      <x:c r="J89" s="30" t="n">
        <x:f>F89/B89</x:f>
        <x:v>0.9375</x:v>
      </x:c>
      <x:c r="K89" s="30" t="n">
        <x:f>J89</x:f>
        <x:v>0.9375</x:v>
      </x:c>
      <x:c r="L89" s="30" t="n">
        <x:f>0.5*(ABS(G89-0.0)+ABS(H89-0.0)+ABS(I89-0.0)+ABS(J89-1.0))</x:f>
        <x:v>0.0625</x:v>
      </x:c>
    </x:row>
    <x:row r="90">
      <x:c r="A90" s="29" t="n">
        <x:v>87</x:v>
      </x:c>
      <x:c r="B90" s="29" t="n">
        <x:v>256</x:v>
      </x:c>
      <x:c r="C90" s="29" t="n">
        <x:v>0</x:v>
      </x:c>
      <x:c r="D90" s="29" t="n">
        <x:v>4</x:v>
      </x:c>
      <x:c r="E90" s="29" t="n">
        <x:v>11</x:v>
      </x:c>
      <x:c r="F90" s="29" t="n">
        <x:v>241</x:v>
      </x:c>
      <x:c r="G90" s="30" t="n">
        <x:f>C90/B90</x:f>
        <x:v>0</x:v>
      </x:c>
      <x:c r="H90" s="30" t="n">
        <x:f>D90/B90</x:f>
        <x:v>0.015625</x:v>
      </x:c>
      <x:c r="I90" s="30" t="n">
        <x:f>E90/B90</x:f>
        <x:v>0.04296875</x:v>
      </x:c>
      <x:c r="J90" s="30" t="n">
        <x:f>F90/B90</x:f>
        <x:v>0.94140625</x:v>
      </x:c>
      <x:c r="K90" s="30" t="n">
        <x:f>J90</x:f>
        <x:v>0.94140625</x:v>
      </x:c>
      <x:c r="L90" s="30" t="n">
        <x:f>0.5*(ABS(G90-0.0)+ABS(H90-0.0)+ABS(I90-0.0)+ABS(J90-1.0))</x:f>
        <x:v>0.05859375</x:v>
      </x:c>
    </x:row>
    <x:row r="91">
      <x:c r="A91" s="29" t="n">
        <x:v>88</x:v>
      </x:c>
      <x:c r="B91" s="29" t="n">
        <x:v>256</x:v>
      </x:c>
      <x:c r="C91" s="29" t="n">
        <x:v>0</x:v>
      </x:c>
      <x:c r="D91" s="29" t="n">
        <x:v>4</x:v>
      </x:c>
      <x:c r="E91" s="29" t="n">
        <x:v>8</x:v>
      </x:c>
      <x:c r="F91" s="29" t="n">
        <x:v>244</x:v>
      </x:c>
      <x:c r="G91" s="30" t="n">
        <x:f>C91/B91</x:f>
        <x:v>0</x:v>
      </x:c>
      <x:c r="H91" s="30" t="n">
        <x:f>D91/B91</x:f>
        <x:v>0.015625</x:v>
      </x:c>
      <x:c r="I91" s="30" t="n">
        <x:f>E91/B91</x:f>
        <x:v>0.03125</x:v>
      </x:c>
      <x:c r="J91" s="30" t="n">
        <x:f>F91/B91</x:f>
        <x:v>0.953125</x:v>
      </x:c>
      <x:c r="K91" s="30" t="n">
        <x:f>J91</x:f>
        <x:v>0.953125</x:v>
      </x:c>
      <x:c r="L91" s="30" t="n">
        <x:f>0.5*(ABS(G91-0.0)+ABS(H91-0.0)+ABS(I91-0.0)+ABS(J91-1.0))</x:f>
        <x:v>0.046875</x:v>
      </x:c>
    </x:row>
    <x:row r="92">
      <x:c r="A92" s="29" t="n">
        <x:v>89</x:v>
      </x:c>
      <x:c r="B92" s="29" t="n">
        <x:v>256</x:v>
      </x:c>
      <x:c r="C92" s="29" t="n">
        <x:v>0</x:v>
      </x:c>
      <x:c r="D92" s="29" t="n">
        <x:v>2</x:v>
      </x:c>
      <x:c r="E92" s="29" t="n">
        <x:v>3</x:v>
      </x:c>
      <x:c r="F92" s="29" t="n">
        <x:v>251</x:v>
      </x:c>
      <x:c r="G92" s="30" t="n">
        <x:f>C92/B92</x:f>
        <x:v>0</x:v>
      </x:c>
      <x:c r="H92" s="30" t="n">
        <x:f>D92/B92</x:f>
        <x:v>0.0078125</x:v>
      </x:c>
      <x:c r="I92" s="30" t="n">
        <x:f>E92/B92</x:f>
        <x:v>0.01171875</x:v>
      </x:c>
      <x:c r="J92" s="30" t="n">
        <x:f>F92/B92</x:f>
        <x:v>0.98046875</x:v>
      </x:c>
      <x:c r="K92" s="30" t="n">
        <x:f>J92</x:f>
        <x:v>0.98046875</x:v>
      </x:c>
      <x:c r="L92" s="30" t="n">
        <x:f>0.5*(ABS(G92-0.0)+ABS(H92-0.0)+ABS(I92-0.0)+ABS(J92-1.0))</x:f>
        <x:v>0.01953125</x:v>
      </x:c>
    </x:row>
    <x:row r="93">
      <x:c r="A93" s="29" t="n">
        <x:v>90</x:v>
      </x:c>
      <x:c r="B93" s="29" t="n">
        <x:v>256</x:v>
      </x:c>
      <x:c r="C93" s="29" t="n">
        <x:v>1</x:v>
      </x:c>
      <x:c r="D93" s="29" t="n">
        <x:v>4</x:v>
      </x:c>
      <x:c r="E93" s="29" t="n">
        <x:v>2</x:v>
      </x:c>
      <x:c r="F93" s="29" t="n">
        <x:v>249</x:v>
      </x:c>
      <x:c r="G93" s="30" t="n">
        <x:f>C93/B93</x:f>
        <x:v>0.00390625</x:v>
      </x:c>
      <x:c r="H93" s="30" t="n">
        <x:f>D93/B93</x:f>
        <x:v>0.015625</x:v>
      </x:c>
      <x:c r="I93" s="30" t="n">
        <x:f>E93/B93</x:f>
        <x:v>0.0078125</x:v>
      </x:c>
      <x:c r="J93" s="30" t="n">
        <x:f>F93/B93</x:f>
        <x:v>0.97265625</x:v>
      </x:c>
      <x:c r="K93" s="30" t="n">
        <x:f>J93</x:f>
        <x:v>0.97265625</x:v>
      </x:c>
      <x:c r="L93" s="30" t="n">
        <x:f>0.5*(ABS(G93-0.0)+ABS(H93-0.0)+ABS(I93-0.0)+ABS(J93-1.0))</x:f>
        <x:v>0.02734375</x:v>
      </x:c>
    </x:row>
    <x:row r="94">
      <x:c r="A94" s="29" t="n">
        <x:v>91</x:v>
      </x:c>
      <x:c r="B94" s="29" t="n">
        <x:v>256</x:v>
      </x:c>
      <x:c r="C94" s="29" t="n">
        <x:v>0</x:v>
      </x:c>
      <x:c r="D94" s="29" t="n">
        <x:v>4</x:v>
      </x:c>
      <x:c r="E94" s="29" t="n">
        <x:v>5</x:v>
      </x:c>
      <x:c r="F94" s="29" t="n">
        <x:v>247</x:v>
      </x:c>
      <x:c r="G94" s="30" t="n">
        <x:f>C94/B94</x:f>
        <x:v>0</x:v>
      </x:c>
      <x:c r="H94" s="30" t="n">
        <x:f>D94/B94</x:f>
        <x:v>0.015625</x:v>
      </x:c>
      <x:c r="I94" s="30" t="n">
        <x:f>E94/B94</x:f>
        <x:v>0.01953125</x:v>
      </x:c>
      <x:c r="J94" s="30" t="n">
        <x:f>F94/B94</x:f>
        <x:v>0.96484375</x:v>
      </x:c>
      <x:c r="K94" s="30" t="n">
        <x:f>J94</x:f>
        <x:v>0.96484375</x:v>
      </x:c>
      <x:c r="L94" s="30" t="n">
        <x:f>0.5*(ABS(G94-0.0)+ABS(H94-0.0)+ABS(I94-0.0)+ABS(J94-1.0))</x:f>
        <x:v>0.03515625</x:v>
      </x:c>
    </x:row>
    <x:row r="95">
      <x:c r="A95" s="29" t="n">
        <x:v>92</x:v>
      </x:c>
      <x:c r="B95" s="29" t="n">
        <x:v>256</x:v>
      </x:c>
      <x:c r="C95" s="29" t="n">
        <x:v>1</x:v>
      </x:c>
      <x:c r="D95" s="29" t="n">
        <x:v>3</x:v>
      </x:c>
      <x:c r="E95" s="29" t="n">
        <x:v>6</x:v>
      </x:c>
      <x:c r="F95" s="29" t="n">
        <x:v>246</x:v>
      </x:c>
      <x:c r="G95" s="30" t="n">
        <x:f>C95/B95</x:f>
        <x:v>0.00390625</x:v>
      </x:c>
      <x:c r="H95" s="30" t="n">
        <x:f>D95/B95</x:f>
        <x:v>0.01171875</x:v>
      </x:c>
      <x:c r="I95" s="30" t="n">
        <x:f>E95/B95</x:f>
        <x:v>0.0234375</x:v>
      </x:c>
      <x:c r="J95" s="30" t="n">
        <x:f>F95/B95</x:f>
        <x:v>0.9609375</x:v>
      </x:c>
      <x:c r="K95" s="30" t="n">
        <x:f>J95</x:f>
        <x:v>0.9609375</x:v>
      </x:c>
      <x:c r="L95" s="30" t="n">
        <x:f>0.5*(ABS(G95-0.0)+ABS(H95-0.0)+ABS(I95-0.0)+ABS(J95-1.0))</x:f>
        <x:v>0.0390625</x:v>
      </x:c>
    </x:row>
    <x:row r="96">
      <x:c r="A96" s="29" t="n">
        <x:v>93</x:v>
      </x:c>
      <x:c r="B96" s="29" t="n">
        <x:v>256</x:v>
      </x:c>
      <x:c r="C96" s="29" t="n">
        <x:v>1</x:v>
      </x:c>
      <x:c r="D96" s="29" t="n">
        <x:v>4</x:v>
      </x:c>
      <x:c r="E96" s="29" t="n">
        <x:v>3</x:v>
      </x:c>
      <x:c r="F96" s="29" t="n">
        <x:v>248</x:v>
      </x:c>
      <x:c r="G96" s="30" t="n">
        <x:f>C96/B96</x:f>
        <x:v>0.00390625</x:v>
      </x:c>
      <x:c r="H96" s="30" t="n">
        <x:f>D96/B96</x:f>
        <x:v>0.015625</x:v>
      </x:c>
      <x:c r="I96" s="30" t="n">
        <x:f>E96/B96</x:f>
        <x:v>0.01171875</x:v>
      </x:c>
      <x:c r="J96" s="30" t="n">
        <x:f>F96/B96</x:f>
        <x:v>0.96875</x:v>
      </x:c>
      <x:c r="K96" s="30" t="n">
        <x:f>J96</x:f>
        <x:v>0.96875</x:v>
      </x:c>
      <x:c r="L96" s="30" t="n">
        <x:f>0.5*(ABS(G96-0.0)+ABS(H96-0.0)+ABS(I96-0.0)+ABS(J96-1.0))</x:f>
        <x:v>0.03125</x:v>
      </x:c>
    </x:row>
    <x:row r="97">
      <x:c r="A97" s="29" t="n">
        <x:v>94</x:v>
      </x:c>
      <x:c r="B97" s="29" t="n">
        <x:v>256</x:v>
      </x:c>
      <x:c r="C97" s="29" t="n">
        <x:v>2</x:v>
      </x:c>
      <x:c r="D97" s="29" t="n">
        <x:v>1</x:v>
      </x:c>
      <x:c r="E97" s="29" t="n">
        <x:v>3</x:v>
      </x:c>
      <x:c r="F97" s="29" t="n">
        <x:v>250</x:v>
      </x:c>
      <x:c r="G97" s="30" t="n">
        <x:f>C97/B97</x:f>
        <x:v>0.0078125</x:v>
      </x:c>
      <x:c r="H97" s="30" t="n">
        <x:f>D97/B97</x:f>
        <x:v>0.00390625</x:v>
      </x:c>
      <x:c r="I97" s="30" t="n">
        <x:f>E97/B97</x:f>
        <x:v>0.01171875</x:v>
      </x:c>
      <x:c r="J97" s="30" t="n">
        <x:f>F97/B97</x:f>
        <x:v>0.9765625</x:v>
      </x:c>
      <x:c r="K97" s="30" t="n">
        <x:f>J97</x:f>
        <x:v>0.9765625</x:v>
      </x:c>
      <x:c r="L97" s="30" t="n">
        <x:f>0.5*(ABS(G97-0.0)+ABS(H97-0.0)+ABS(I97-0.0)+ABS(J97-1.0))</x:f>
        <x:v>0.0234375</x:v>
      </x:c>
    </x:row>
    <x:row r="98">
      <x:c r="A98" s="29" t="n">
        <x:v>95</x:v>
      </x:c>
      <x:c r="B98" s="29" t="n">
        <x:v>256</x:v>
      </x:c>
      <x:c r="C98" s="29" t="n">
        <x:v>0</x:v>
      </x:c>
      <x:c r="D98" s="29" t="n">
        <x:v>3</x:v>
      </x:c>
      <x:c r="E98" s="29" t="n">
        <x:v>3</x:v>
      </x:c>
      <x:c r="F98" s="29" t="n">
        <x:v>250</x:v>
      </x:c>
      <x:c r="G98" s="30" t="n">
        <x:f>C98/B98</x:f>
        <x:v>0</x:v>
      </x:c>
      <x:c r="H98" s="30" t="n">
        <x:f>D98/B98</x:f>
        <x:v>0.01171875</x:v>
      </x:c>
      <x:c r="I98" s="30" t="n">
        <x:f>E98/B98</x:f>
        <x:v>0.01171875</x:v>
      </x:c>
      <x:c r="J98" s="30" t="n">
        <x:f>F98/B98</x:f>
        <x:v>0.9765625</x:v>
      </x:c>
      <x:c r="K98" s="30" t="n">
        <x:f>J98</x:f>
        <x:v>0.9765625</x:v>
      </x:c>
      <x:c r="L98" s="30" t="n">
        <x:f>0.5*(ABS(G98-0.0)+ABS(H98-0.0)+ABS(I98-0.0)+ABS(J98-1.0))</x:f>
        <x:v>0.0234375</x:v>
      </x:c>
    </x:row>
    <x:row r="99">
      <x:c r="A99" s="29" t="n">
        <x:v>96</x:v>
      </x:c>
      <x:c r="B99" s="29" t="n">
        <x:v>256</x:v>
      </x:c>
      <x:c r="C99" s="29" t="n">
        <x:v>2</x:v>
      </x:c>
      <x:c r="D99" s="29" t="n">
        <x:v>4</x:v>
      </x:c>
      <x:c r="E99" s="29" t="n">
        <x:v>4</x:v>
      </x:c>
      <x:c r="F99" s="29" t="n">
        <x:v>246</x:v>
      </x:c>
      <x:c r="G99" s="30" t="n">
        <x:f>C99/B99</x:f>
        <x:v>0.0078125</x:v>
      </x:c>
      <x:c r="H99" s="30" t="n">
        <x:f>D99/B99</x:f>
        <x:v>0.015625</x:v>
      </x:c>
      <x:c r="I99" s="30" t="n">
        <x:f>E99/B99</x:f>
        <x:v>0.015625</x:v>
      </x:c>
      <x:c r="J99" s="30" t="n">
        <x:f>F99/B99</x:f>
        <x:v>0.9609375</x:v>
      </x:c>
      <x:c r="K99" s="30" t="n">
        <x:f>J99</x:f>
        <x:v>0.9609375</x:v>
      </x:c>
      <x:c r="L99" s="30" t="n">
        <x:f>0.5*(ABS(G99-0.0)+ABS(H99-0.0)+ABS(I99-0.0)+ABS(J99-1.0))</x:f>
        <x:v>0.0390625</x:v>
      </x:c>
    </x:row>
    <x:row r="100">
      <x:c r="A100" s="29" t="n">
        <x:v>97</x:v>
      </x:c>
      <x:c r="B100" s="29" t="n">
        <x:v>256</x:v>
      </x:c>
      <x:c r="C100" s="29" t="n">
        <x:v>0</x:v>
      </x:c>
      <x:c r="D100" s="29" t="n">
        <x:v>1</x:v>
      </x:c>
      <x:c r="E100" s="29" t="n">
        <x:v>7</x:v>
      </x:c>
      <x:c r="F100" s="29" t="n">
        <x:v>248</x:v>
      </x:c>
      <x:c r="G100" s="30" t="n">
        <x:f>C100/B100</x:f>
        <x:v>0</x:v>
      </x:c>
      <x:c r="H100" s="30" t="n">
        <x:f>D100/B100</x:f>
        <x:v>0.00390625</x:v>
      </x:c>
      <x:c r="I100" s="30" t="n">
        <x:f>E100/B100</x:f>
        <x:v>0.02734375</x:v>
      </x:c>
      <x:c r="J100" s="30" t="n">
        <x:f>F100/B100</x:f>
        <x:v>0.96875</x:v>
      </x:c>
      <x:c r="K100" s="30" t="n">
        <x:f>J100</x:f>
        <x:v>0.96875</x:v>
      </x:c>
      <x:c r="L100" s="30" t="n">
        <x:f>0.5*(ABS(G100-0.0)+ABS(H100-0.0)+ABS(I100-0.0)+ABS(J100-1.0))</x:f>
        <x:v>0.03125</x:v>
      </x:c>
    </x:row>
    <x:row r="101">
      <x:c r="A101" s="29" t="n">
        <x:v>98</x:v>
      </x:c>
      <x:c r="B101" s="29" t="n">
        <x:v>256</x:v>
      </x:c>
      <x:c r="C101" s="29" t="n">
        <x:v>0</x:v>
      </x:c>
      <x:c r="D101" s="29" t="n">
        <x:v>4</x:v>
      </x:c>
      <x:c r="E101" s="29" t="n">
        <x:v>6</x:v>
      </x:c>
      <x:c r="F101" s="29" t="n">
        <x:v>246</x:v>
      </x:c>
      <x:c r="G101" s="30" t="n">
        <x:f>C101/B101</x:f>
        <x:v>0</x:v>
      </x:c>
      <x:c r="H101" s="30" t="n">
        <x:f>D101/B101</x:f>
        <x:v>0.015625</x:v>
      </x:c>
      <x:c r="I101" s="30" t="n">
        <x:f>E101/B101</x:f>
        <x:v>0.0234375</x:v>
      </x:c>
      <x:c r="J101" s="30" t="n">
        <x:f>F101/B101</x:f>
        <x:v>0.9609375</x:v>
      </x:c>
      <x:c r="K101" s="30" t="n">
        <x:f>J101</x:f>
        <x:v>0.9609375</x:v>
      </x:c>
      <x:c r="L101" s="30" t="n">
        <x:f>0.5*(ABS(G101-0.0)+ABS(H101-0.0)+ABS(I101-0.0)+ABS(J101-1.0))</x:f>
        <x:v>0.0390625</x:v>
      </x:c>
    </x:row>
    <x:row r="102">
      <x:c r="A102" s="29" t="n">
        <x:v>99</x:v>
      </x:c>
      <x:c r="B102" s="29" t="n">
        <x:v>256</x:v>
      </x:c>
      <x:c r="C102" s="29" t="n">
        <x:v>3</x:v>
      </x:c>
      <x:c r="D102" s="29" t="n">
        <x:v>7</x:v>
      </x:c>
      <x:c r="E102" s="29" t="n">
        <x:v>5</x:v>
      </x:c>
      <x:c r="F102" s="29" t="n">
        <x:v>241</x:v>
      </x:c>
      <x:c r="G102" s="30" t="n">
        <x:f>C102/B102</x:f>
        <x:v>0.01171875</x:v>
      </x:c>
      <x:c r="H102" s="30" t="n">
        <x:f>D102/B102</x:f>
        <x:v>0.02734375</x:v>
      </x:c>
      <x:c r="I102" s="30" t="n">
        <x:f>E102/B102</x:f>
        <x:v>0.01953125</x:v>
      </x:c>
      <x:c r="J102" s="30" t="n">
        <x:f>F102/B102</x:f>
        <x:v>0.94140625</x:v>
      </x:c>
      <x:c r="K102" s="30" t="n">
        <x:f>J102</x:f>
        <x:v>0.94140625</x:v>
      </x:c>
      <x:c r="L102" s="30" t="n">
        <x:f>0.5*(ABS(G102-0.0)+ABS(H102-0.0)+ABS(I102-0.0)+ABS(J102-1.0))</x:f>
        <x:v>0.05859375</x:v>
      </x:c>
    </x:row>
    <x:row r="103">
      <x:c r="A103" s="29" t="n">
        <x:v>100</x:v>
      </x:c>
      <x:c r="B103" s="29" t="n">
        <x:v>256</x:v>
      </x:c>
      <x:c r="C103" s="29" t="n">
        <x:v>1</x:v>
      </x:c>
      <x:c r="D103" s="29" t="n">
        <x:v>4</x:v>
      </x:c>
      <x:c r="E103" s="29" t="n">
        <x:v>5</x:v>
      </x:c>
      <x:c r="F103" s="29" t="n">
        <x:v>246</x:v>
      </x:c>
      <x:c r="G103" s="30" t="n">
        <x:f>C103/B103</x:f>
        <x:v>0.00390625</x:v>
      </x:c>
      <x:c r="H103" s="30" t="n">
        <x:f>D103/B103</x:f>
        <x:v>0.015625</x:v>
      </x:c>
      <x:c r="I103" s="30" t="n">
        <x:f>E103/B103</x:f>
        <x:v>0.01953125</x:v>
      </x:c>
      <x:c r="J103" s="30" t="n">
        <x:f>F103/B103</x:f>
        <x:v>0.9609375</x:v>
      </x:c>
      <x:c r="K103" s="30" t="n">
        <x:f>J103</x:f>
        <x:v>0.9609375</x:v>
      </x:c>
      <x:c r="L103" s="30" t="n">
        <x:f>0.5*(ABS(G103-0.0)+ABS(H103-0.0)+ABS(I103-0.0)+ABS(J103-1.0))</x:f>
        <x:v>0.0390625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Raw counts and derived probabilities: (iZ,iZ)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28" t="str">
        <x:v>run</x:v>
      </x:c>
      <x:c r="B3" s="28" t="str">
        <x:v>shots</x:v>
      </x:c>
      <x:c r="C3" s="28" t="str">
        <x:v>count_00</x:v>
      </x:c>
      <x:c r="D3" s="28" t="str">
        <x:v>count_01</x:v>
      </x:c>
      <x:c r="E3" s="28" t="str">
        <x:v>count_10</x:v>
      </x:c>
      <x:c r="F3" s="28" t="str">
        <x:v>count_11</x:v>
      </x:c>
      <x:c r="G3" s="28" t="str">
        <x:v>p00</x:v>
      </x:c>
      <x:c r="H3" s="28" t="str">
        <x:v>p01</x:v>
      </x:c>
      <x:c r="I3" s="28" t="str">
        <x:v>p10</x:v>
      </x:c>
      <x:c r="J3" s="28" t="str">
        <x:v>p11</x:v>
      </x:c>
      <x:c r="K3" s="28" t="str">
        <x:v>target_probability</x:v>
      </x:c>
      <x:c r="L3" s="28" t="str">
        <x:v>TVD</x:v>
      </x:c>
    </x:row>
    <x:row r="4">
      <x:c r="A4" s="29" t="n">
        <x:v>1</x:v>
      </x:c>
      <x:c r="B4" s="29" t="n">
        <x:v>256</x:v>
      </x:c>
      <x:c r="C4" s="29" t="n">
        <x:v>249</x:v>
      </x:c>
      <x:c r="D4" s="29" t="n">
        <x:v>6</x:v>
      </x:c>
      <x:c r="E4" s="29" t="n">
        <x:v>1</x:v>
      </x:c>
      <x:c r="F4" s="29" t="n">
        <x:v>0</x:v>
      </x:c>
      <x:c r="G4" s="30" t="n">
        <x:f>C4/B4</x:f>
        <x:v>0.97265625</x:v>
      </x:c>
      <x:c r="H4" s="30" t="n">
        <x:f>D4/B4</x:f>
        <x:v>0.0234375</x:v>
      </x:c>
      <x:c r="I4" s="30" t="n">
        <x:f>E4/B4</x:f>
        <x:v>0.00390625</x:v>
      </x:c>
      <x:c r="J4" s="30" t="n">
        <x:f>F4/B4</x:f>
        <x:v>0</x:v>
      </x:c>
      <x:c r="K4" s="30" t="n">
        <x:f>G4</x:f>
        <x:v>0.97265625</x:v>
      </x:c>
      <x:c r="L4" s="30" t="n">
        <x:f>0.5*(ABS(G4-1.0)+ABS(H4-0.0)+ABS(I4-0.0)+ABS(J4-0.0))</x:f>
        <x:v>0.02734375</x:v>
      </x:c>
    </x:row>
    <x:row r="5">
      <x:c r="A5" s="29" t="n">
        <x:v>2</x:v>
      </x:c>
      <x:c r="B5" s="29" t="n">
        <x:v>256</x:v>
      </x:c>
      <x:c r="C5" s="29" t="n">
        <x:v>247</x:v>
      </x:c>
      <x:c r="D5" s="29" t="n">
        <x:v>6</x:v>
      </x:c>
      <x:c r="E5" s="29" t="n">
        <x:v>2</x:v>
      </x:c>
      <x:c r="F5" s="29" t="n">
        <x:v>1</x:v>
      </x:c>
      <x:c r="G5" s="30" t="n">
        <x:f>C5/B5</x:f>
        <x:v>0.96484375</x:v>
      </x:c>
      <x:c r="H5" s="30" t="n">
        <x:f>D5/B5</x:f>
        <x:v>0.0234375</x:v>
      </x:c>
      <x:c r="I5" s="30" t="n">
        <x:f>E5/B5</x:f>
        <x:v>0.0078125</x:v>
      </x:c>
      <x:c r="J5" s="30" t="n">
        <x:f>F5/B5</x:f>
        <x:v>0.00390625</x:v>
      </x:c>
      <x:c r="K5" s="30" t="n">
        <x:f>G5</x:f>
        <x:v>0.96484375</x:v>
      </x:c>
      <x:c r="L5" s="30" t="n">
        <x:f>0.5*(ABS(G5-1.0)+ABS(H5-0.0)+ABS(I5-0.0)+ABS(J5-0.0))</x:f>
        <x:v>0.03515625</x:v>
      </x:c>
    </x:row>
    <x:row r="6">
      <x:c r="A6" s="29" t="n">
        <x:v>3</x:v>
      </x:c>
      <x:c r="B6" s="29" t="n">
        <x:v>256</x:v>
      </x:c>
      <x:c r="C6" s="29" t="n">
        <x:v>247</x:v>
      </x:c>
      <x:c r="D6" s="29" t="n">
        <x:v>9</x:v>
      </x:c>
      <x:c r="E6" s="29" t="n">
        <x:v>0</x:v>
      </x:c>
      <x:c r="F6" s="29" t="n">
        <x:v>0</x:v>
      </x:c>
      <x:c r="G6" s="30" t="n">
        <x:f>C6/B6</x:f>
        <x:v>0.96484375</x:v>
      </x:c>
      <x:c r="H6" s="30" t="n">
        <x:f>D6/B6</x:f>
        <x:v>0.03515625</x:v>
      </x:c>
      <x:c r="I6" s="30" t="n">
        <x:f>E6/B6</x:f>
        <x:v>0</x:v>
      </x:c>
      <x:c r="J6" s="30" t="n">
        <x:f>F6/B6</x:f>
        <x:v>0</x:v>
      </x:c>
      <x:c r="K6" s="30" t="n">
        <x:f>G6</x:f>
        <x:v>0.96484375</x:v>
      </x:c>
      <x:c r="L6" s="30" t="n">
        <x:f>0.5*(ABS(G6-1.0)+ABS(H6-0.0)+ABS(I6-0.0)+ABS(J6-0.0))</x:f>
        <x:v>0.03515625</x:v>
      </x:c>
    </x:row>
    <x:row r="7">
      <x:c r="A7" s="29" t="n">
        <x:v>4</x:v>
      </x:c>
      <x:c r="B7" s="29" t="n">
        <x:v>256</x:v>
      </x:c>
      <x:c r="C7" s="29" t="n">
        <x:v>251</x:v>
      </x:c>
      <x:c r="D7" s="29" t="n">
        <x:v>4</x:v>
      </x:c>
      <x:c r="E7" s="29" t="n">
        <x:v>0</x:v>
      </x:c>
      <x:c r="F7" s="29" t="n">
        <x:v>1</x:v>
      </x:c>
      <x:c r="G7" s="30" t="n">
        <x:f>C7/B7</x:f>
        <x:v>0.98046875</x:v>
      </x:c>
      <x:c r="H7" s="30" t="n">
        <x:f>D7/B7</x:f>
        <x:v>0.015625</x:v>
      </x:c>
      <x:c r="I7" s="30" t="n">
        <x:f>E7/B7</x:f>
        <x:v>0</x:v>
      </x:c>
      <x:c r="J7" s="30" t="n">
        <x:f>F7/B7</x:f>
        <x:v>0.00390625</x:v>
      </x:c>
      <x:c r="K7" s="30" t="n">
        <x:f>G7</x:f>
        <x:v>0.98046875</x:v>
      </x:c>
      <x:c r="L7" s="30" t="n">
        <x:f>0.5*(ABS(G7-1.0)+ABS(H7-0.0)+ABS(I7-0.0)+ABS(J7-0.0))</x:f>
        <x:v>0.01953125</x:v>
      </x:c>
    </x:row>
    <x:row r="8">
      <x:c r="A8" s="29" t="n">
        <x:v>5</x:v>
      </x:c>
      <x:c r="B8" s="29" t="n">
        <x:v>256</x:v>
      </x:c>
      <x:c r="C8" s="29" t="n">
        <x:v>247</x:v>
      </x:c>
      <x:c r="D8" s="29" t="n">
        <x:v>7</x:v>
      </x:c>
      <x:c r="E8" s="29" t="n">
        <x:v>0</x:v>
      </x:c>
      <x:c r="F8" s="29" t="n">
        <x:v>2</x:v>
      </x:c>
      <x:c r="G8" s="30" t="n">
        <x:f>C8/B8</x:f>
        <x:v>0.96484375</x:v>
      </x:c>
      <x:c r="H8" s="30" t="n">
        <x:f>D8/B8</x:f>
        <x:v>0.02734375</x:v>
      </x:c>
      <x:c r="I8" s="30" t="n">
        <x:f>E8/B8</x:f>
        <x:v>0</x:v>
      </x:c>
      <x:c r="J8" s="30" t="n">
        <x:f>F8/B8</x:f>
        <x:v>0.0078125</x:v>
      </x:c>
      <x:c r="K8" s="30" t="n">
        <x:f>G8</x:f>
        <x:v>0.96484375</x:v>
      </x:c>
      <x:c r="L8" s="30" t="n">
        <x:f>0.5*(ABS(G8-1.0)+ABS(H8-0.0)+ABS(I8-0.0)+ABS(J8-0.0))</x:f>
        <x:v>0.03515625</x:v>
      </x:c>
    </x:row>
    <x:row r="9">
      <x:c r="A9" s="29" t="n">
        <x:v>6</x:v>
      </x:c>
      <x:c r="B9" s="29" t="n">
        <x:v>256</x:v>
      </x:c>
      <x:c r="C9" s="29" t="n">
        <x:v>253</x:v>
      </x:c>
      <x:c r="D9" s="29" t="n">
        <x:v>2</x:v>
      </x:c>
      <x:c r="E9" s="29" t="n">
        <x:v>1</x:v>
      </x:c>
      <x:c r="F9" s="29" t="n">
        <x:v>0</x:v>
      </x:c>
      <x:c r="G9" s="30" t="n">
        <x:f>C9/B9</x:f>
        <x:v>0.98828125</x:v>
      </x:c>
      <x:c r="H9" s="30" t="n">
        <x:f>D9/B9</x:f>
        <x:v>0.0078125</x:v>
      </x:c>
      <x:c r="I9" s="30" t="n">
        <x:f>E9/B9</x:f>
        <x:v>0.00390625</x:v>
      </x:c>
      <x:c r="J9" s="30" t="n">
        <x:f>F9/B9</x:f>
        <x:v>0</x:v>
      </x:c>
      <x:c r="K9" s="30" t="n">
        <x:f>G9</x:f>
        <x:v>0.98828125</x:v>
      </x:c>
      <x:c r="L9" s="30" t="n">
        <x:f>0.5*(ABS(G9-1.0)+ABS(H9-0.0)+ABS(I9-0.0)+ABS(J9-0.0))</x:f>
        <x:v>0.01171875</x:v>
      </x:c>
    </x:row>
    <x:row r="10">
      <x:c r="A10" s="29" t="n">
        <x:v>7</x:v>
      </x:c>
      <x:c r="B10" s="29" t="n">
        <x:v>256</x:v>
      </x:c>
      <x:c r="C10" s="29" t="n">
        <x:v>246</x:v>
      </x:c>
      <x:c r="D10" s="29" t="n">
        <x:v>7</x:v>
      </x:c>
      <x:c r="E10" s="29" t="n">
        <x:v>2</x:v>
      </x:c>
      <x:c r="F10" s="29" t="n">
        <x:v>1</x:v>
      </x:c>
      <x:c r="G10" s="30" t="n">
        <x:f>C10/B10</x:f>
        <x:v>0.9609375</x:v>
      </x:c>
      <x:c r="H10" s="30" t="n">
        <x:f>D10/B10</x:f>
        <x:v>0.02734375</x:v>
      </x:c>
      <x:c r="I10" s="30" t="n">
        <x:f>E10/B10</x:f>
        <x:v>0.0078125</x:v>
      </x:c>
      <x:c r="J10" s="30" t="n">
        <x:f>F10/B10</x:f>
        <x:v>0.00390625</x:v>
      </x:c>
      <x:c r="K10" s="30" t="n">
        <x:f>G10</x:f>
        <x:v>0.9609375</x:v>
      </x:c>
      <x:c r="L10" s="30" t="n">
        <x:f>0.5*(ABS(G10-1.0)+ABS(H10-0.0)+ABS(I10-0.0)+ABS(J10-0.0))</x:f>
        <x:v>0.0390625</x:v>
      </x:c>
    </x:row>
    <x:row r="11">
      <x:c r="A11" s="29" t="n">
        <x:v>8</x:v>
      </x:c>
      <x:c r="B11" s="29" t="n">
        <x:v>256</x:v>
      </x:c>
      <x:c r="C11" s="29" t="n">
        <x:v>248</x:v>
      </x:c>
      <x:c r="D11" s="29" t="n">
        <x:v>8</x:v>
      </x:c>
      <x:c r="E11" s="29" t="n">
        <x:v>0</x:v>
      </x:c>
      <x:c r="F11" s="29" t="n">
        <x:v>0</x:v>
      </x:c>
      <x:c r="G11" s="30" t="n">
        <x:f>C11/B11</x:f>
        <x:v>0.96875</x:v>
      </x:c>
      <x:c r="H11" s="30" t="n">
        <x:f>D11/B11</x:f>
        <x:v>0.03125</x:v>
      </x:c>
      <x:c r="I11" s="30" t="n">
        <x:f>E11/B11</x:f>
        <x:v>0</x:v>
      </x:c>
      <x:c r="J11" s="30" t="n">
        <x:f>F11/B11</x:f>
        <x:v>0</x:v>
      </x:c>
      <x:c r="K11" s="30" t="n">
        <x:f>G11</x:f>
        <x:v>0.96875</x:v>
      </x:c>
      <x:c r="L11" s="30" t="n">
        <x:f>0.5*(ABS(G11-1.0)+ABS(H11-0.0)+ABS(I11-0.0)+ABS(J11-0.0))</x:f>
        <x:v>0.03125</x:v>
      </x:c>
    </x:row>
    <x:row r="12">
      <x:c r="A12" s="29" t="n">
        <x:v>9</x:v>
      </x:c>
      <x:c r="B12" s="29" t="n">
        <x:v>256</x:v>
      </x:c>
      <x:c r="C12" s="29" t="n">
        <x:v>252</x:v>
      </x:c>
      <x:c r="D12" s="29" t="n">
        <x:v>3</x:v>
      </x:c>
      <x:c r="E12" s="29" t="n">
        <x:v>1</x:v>
      </x:c>
      <x:c r="F12" s="29" t="n">
        <x:v>0</x:v>
      </x:c>
      <x:c r="G12" s="30" t="n">
        <x:f>C12/B12</x:f>
        <x:v>0.984375</x:v>
      </x:c>
      <x:c r="H12" s="30" t="n">
        <x:f>D12/B12</x:f>
        <x:v>0.01171875</x:v>
      </x:c>
      <x:c r="I12" s="30" t="n">
        <x:f>E12/B12</x:f>
        <x:v>0.00390625</x:v>
      </x:c>
      <x:c r="J12" s="30" t="n">
        <x:f>F12/B12</x:f>
        <x:v>0</x:v>
      </x:c>
      <x:c r="K12" s="30" t="n">
        <x:f>G12</x:f>
        <x:v>0.984375</x:v>
      </x:c>
      <x:c r="L12" s="30" t="n">
        <x:f>0.5*(ABS(G12-1.0)+ABS(H12-0.0)+ABS(I12-0.0)+ABS(J12-0.0))</x:f>
        <x:v>0.015625</x:v>
      </x:c>
    </x:row>
    <x:row r="13">
      <x:c r="A13" s="29" t="n">
        <x:v>10</x:v>
      </x:c>
      <x:c r="B13" s="29" t="n">
        <x:v>256</x:v>
      </x:c>
      <x:c r="C13" s="29" t="n">
        <x:v>248</x:v>
      </x:c>
      <x:c r="D13" s="29" t="n">
        <x:v>8</x:v>
      </x:c>
      <x:c r="E13" s="29" t="n">
        <x:v>0</x:v>
      </x:c>
      <x:c r="F13" s="29" t="n">
        <x:v>0</x:v>
      </x:c>
      <x:c r="G13" s="30" t="n">
        <x:f>C13/B13</x:f>
        <x:v>0.96875</x:v>
      </x:c>
      <x:c r="H13" s="30" t="n">
        <x:f>D13/B13</x:f>
        <x:v>0.03125</x:v>
      </x:c>
      <x:c r="I13" s="30" t="n">
        <x:f>E13/B13</x:f>
        <x:v>0</x:v>
      </x:c>
      <x:c r="J13" s="30" t="n">
        <x:f>F13/B13</x:f>
        <x:v>0</x:v>
      </x:c>
      <x:c r="K13" s="30" t="n">
        <x:f>G13</x:f>
        <x:v>0.96875</x:v>
      </x:c>
      <x:c r="L13" s="30" t="n">
        <x:f>0.5*(ABS(G13-1.0)+ABS(H13-0.0)+ABS(I13-0.0)+ABS(J13-0.0))</x:f>
        <x:v>0.03125</x:v>
      </x:c>
    </x:row>
    <x:row r="14">
      <x:c r="A14" s="29" t="n">
        <x:v>11</x:v>
      </x:c>
      <x:c r="B14" s="29" t="n">
        <x:v>256</x:v>
      </x:c>
      <x:c r="C14" s="29" t="n">
        <x:v>251</x:v>
      </x:c>
      <x:c r="D14" s="29" t="n">
        <x:v>4</x:v>
      </x:c>
      <x:c r="E14" s="29" t="n">
        <x:v>0</x:v>
      </x:c>
      <x:c r="F14" s="29" t="n">
        <x:v>1</x:v>
      </x:c>
      <x:c r="G14" s="30" t="n">
        <x:f>C14/B14</x:f>
        <x:v>0.98046875</x:v>
      </x:c>
      <x:c r="H14" s="30" t="n">
        <x:f>D14/B14</x:f>
        <x:v>0.015625</x:v>
      </x:c>
      <x:c r="I14" s="30" t="n">
        <x:f>E14/B14</x:f>
        <x:v>0</x:v>
      </x:c>
      <x:c r="J14" s="30" t="n">
        <x:f>F14/B14</x:f>
        <x:v>0.00390625</x:v>
      </x:c>
      <x:c r="K14" s="30" t="n">
        <x:f>G14</x:f>
        <x:v>0.98046875</x:v>
      </x:c>
      <x:c r="L14" s="30" t="n">
        <x:f>0.5*(ABS(G14-1.0)+ABS(H14-0.0)+ABS(I14-0.0)+ABS(J14-0.0))</x:f>
        <x:v>0.01953125</x:v>
      </x:c>
    </x:row>
    <x:row r="15">
      <x:c r="A15" s="29" t="n">
        <x:v>12</x:v>
      </x:c>
      <x:c r="B15" s="29" t="n">
        <x:v>256</x:v>
      </x:c>
      <x:c r="C15" s="29" t="n">
        <x:v>253</x:v>
      </x:c>
      <x:c r="D15" s="29" t="n">
        <x:v>2</x:v>
      </x:c>
      <x:c r="E15" s="29" t="n">
        <x:v>0</x:v>
      </x:c>
      <x:c r="F15" s="29" t="n">
        <x:v>1</x:v>
      </x:c>
      <x:c r="G15" s="30" t="n">
        <x:f>C15/B15</x:f>
        <x:v>0.98828125</x:v>
      </x:c>
      <x:c r="H15" s="30" t="n">
        <x:f>D15/B15</x:f>
        <x:v>0.0078125</x:v>
      </x:c>
      <x:c r="I15" s="30" t="n">
        <x:f>E15/B15</x:f>
        <x:v>0</x:v>
      </x:c>
      <x:c r="J15" s="30" t="n">
        <x:f>F15/B15</x:f>
        <x:v>0.00390625</x:v>
      </x:c>
      <x:c r="K15" s="30" t="n">
        <x:f>G15</x:f>
        <x:v>0.98828125</x:v>
      </x:c>
      <x:c r="L15" s="30" t="n">
        <x:f>0.5*(ABS(G15-1.0)+ABS(H15-0.0)+ABS(I15-0.0)+ABS(J15-0.0))</x:f>
        <x:v>0.01171875</x:v>
      </x:c>
    </x:row>
    <x:row r="16">
      <x:c r="A16" s="29" t="n">
        <x:v>13</x:v>
      </x:c>
      <x:c r="B16" s="29" t="n">
        <x:v>256</x:v>
      </x:c>
      <x:c r="C16" s="29" t="n">
        <x:v>252</x:v>
      </x:c>
      <x:c r="D16" s="29" t="n">
        <x:v>3</x:v>
      </x:c>
      <x:c r="E16" s="29" t="n">
        <x:v>1</x:v>
      </x:c>
      <x:c r="F16" s="29" t="n">
        <x:v>0</x:v>
      </x:c>
      <x:c r="G16" s="30" t="n">
        <x:f>C16/B16</x:f>
        <x:v>0.984375</x:v>
      </x:c>
      <x:c r="H16" s="30" t="n">
        <x:f>D16/B16</x:f>
        <x:v>0.01171875</x:v>
      </x:c>
      <x:c r="I16" s="30" t="n">
        <x:f>E16/B16</x:f>
        <x:v>0.00390625</x:v>
      </x:c>
      <x:c r="J16" s="30" t="n">
        <x:f>F16/B16</x:f>
        <x:v>0</x:v>
      </x:c>
      <x:c r="K16" s="30" t="n">
        <x:f>G16</x:f>
        <x:v>0.984375</x:v>
      </x:c>
      <x:c r="L16" s="30" t="n">
        <x:f>0.5*(ABS(G16-1.0)+ABS(H16-0.0)+ABS(I16-0.0)+ABS(J16-0.0))</x:f>
        <x:v>0.015625</x:v>
      </x:c>
    </x:row>
    <x:row r="17">
      <x:c r="A17" s="29" t="n">
        <x:v>14</x:v>
      </x:c>
      <x:c r="B17" s="29" t="n">
        <x:v>256</x:v>
      </x:c>
      <x:c r="C17" s="29" t="n">
        <x:v>249</x:v>
      </x:c>
      <x:c r="D17" s="29" t="n">
        <x:v>7</x:v>
      </x:c>
      <x:c r="E17" s="29" t="n">
        <x:v>0</x:v>
      </x:c>
      <x:c r="F17" s="29" t="n">
        <x:v>0</x:v>
      </x:c>
      <x:c r="G17" s="30" t="n">
        <x:f>C17/B17</x:f>
        <x:v>0.97265625</x:v>
      </x:c>
      <x:c r="H17" s="30" t="n">
        <x:f>D17/B17</x:f>
        <x:v>0.02734375</x:v>
      </x:c>
      <x:c r="I17" s="30" t="n">
        <x:f>E17/B17</x:f>
        <x:v>0</x:v>
      </x:c>
      <x:c r="J17" s="30" t="n">
        <x:f>F17/B17</x:f>
        <x:v>0</x:v>
      </x:c>
      <x:c r="K17" s="30" t="n">
        <x:f>G17</x:f>
        <x:v>0.97265625</x:v>
      </x:c>
      <x:c r="L17" s="30" t="n">
        <x:f>0.5*(ABS(G17-1.0)+ABS(H17-0.0)+ABS(I17-0.0)+ABS(J17-0.0))</x:f>
        <x:v>0.02734375</x:v>
      </x:c>
    </x:row>
    <x:row r="18">
      <x:c r="A18" s="29" t="n">
        <x:v>15</x:v>
      </x:c>
      <x:c r="B18" s="29" t="n">
        <x:v>256</x:v>
      </x:c>
      <x:c r="C18" s="29" t="n">
        <x:v>252</x:v>
      </x:c>
      <x:c r="D18" s="29" t="n">
        <x:v>3</x:v>
      </x:c>
      <x:c r="E18" s="29" t="n">
        <x:v>0</x:v>
      </x:c>
      <x:c r="F18" s="29" t="n">
        <x:v>1</x:v>
      </x:c>
      <x:c r="G18" s="30" t="n">
        <x:f>C18/B18</x:f>
        <x:v>0.984375</x:v>
      </x:c>
      <x:c r="H18" s="30" t="n">
        <x:f>D18/B18</x:f>
        <x:v>0.01171875</x:v>
      </x:c>
      <x:c r="I18" s="30" t="n">
        <x:f>E18/B18</x:f>
        <x:v>0</x:v>
      </x:c>
      <x:c r="J18" s="30" t="n">
        <x:f>F18/B18</x:f>
        <x:v>0.00390625</x:v>
      </x:c>
      <x:c r="K18" s="30" t="n">
        <x:f>G18</x:f>
        <x:v>0.984375</x:v>
      </x:c>
      <x:c r="L18" s="30" t="n">
        <x:f>0.5*(ABS(G18-1.0)+ABS(H18-0.0)+ABS(I18-0.0)+ABS(J18-0.0))</x:f>
        <x:v>0.015625</x:v>
      </x:c>
    </x:row>
    <x:row r="19">
      <x:c r="A19" s="29" t="n">
        <x:v>16</x:v>
      </x:c>
      <x:c r="B19" s="29" t="n">
        <x:v>256</x:v>
      </x:c>
      <x:c r="C19" s="29" t="n">
        <x:v>254</x:v>
      </x:c>
      <x:c r="D19" s="29" t="n">
        <x:v>1</x:v>
      </x:c>
      <x:c r="E19" s="29" t="n">
        <x:v>1</x:v>
      </x:c>
      <x:c r="F19" s="29" t="n">
        <x:v>0</x:v>
      </x:c>
      <x:c r="G19" s="30" t="n">
        <x:f>C19/B19</x:f>
        <x:v>0.9921875</x:v>
      </x:c>
      <x:c r="H19" s="30" t="n">
        <x:f>D19/B19</x:f>
        <x:v>0.00390625</x:v>
      </x:c>
      <x:c r="I19" s="30" t="n">
        <x:f>E19/B19</x:f>
        <x:v>0.00390625</x:v>
      </x:c>
      <x:c r="J19" s="30" t="n">
        <x:f>F19/B19</x:f>
        <x:v>0</x:v>
      </x:c>
      <x:c r="K19" s="30" t="n">
        <x:f>G19</x:f>
        <x:v>0.9921875</x:v>
      </x:c>
      <x:c r="L19" s="30" t="n">
        <x:f>0.5*(ABS(G19-1.0)+ABS(H19-0.0)+ABS(I19-0.0)+ABS(J19-0.0))</x:f>
        <x:v>0.0078125</x:v>
      </x:c>
    </x:row>
    <x:row r="20">
      <x:c r="A20" s="29" t="n">
        <x:v>17</x:v>
      </x:c>
      <x:c r="B20" s="29" t="n">
        <x:v>256</x:v>
      </x:c>
      <x:c r="C20" s="29" t="n">
        <x:v>247</x:v>
      </x:c>
      <x:c r="D20" s="29" t="n">
        <x:v>4</x:v>
      </x:c>
      <x:c r="E20" s="29" t="n">
        <x:v>3</x:v>
      </x:c>
      <x:c r="F20" s="29" t="n">
        <x:v>2</x:v>
      </x:c>
      <x:c r="G20" s="30" t="n">
        <x:f>C20/B20</x:f>
        <x:v>0.96484375</x:v>
      </x:c>
      <x:c r="H20" s="30" t="n">
        <x:f>D20/B20</x:f>
        <x:v>0.015625</x:v>
      </x:c>
      <x:c r="I20" s="30" t="n">
        <x:f>E20/B20</x:f>
        <x:v>0.01171875</x:v>
      </x:c>
      <x:c r="J20" s="30" t="n">
        <x:f>F20/B20</x:f>
        <x:v>0.0078125</x:v>
      </x:c>
      <x:c r="K20" s="30" t="n">
        <x:f>G20</x:f>
        <x:v>0.96484375</x:v>
      </x:c>
      <x:c r="L20" s="30" t="n">
        <x:f>0.5*(ABS(G20-1.0)+ABS(H20-0.0)+ABS(I20-0.0)+ABS(J20-0.0))</x:f>
        <x:v>0.03515625</x:v>
      </x:c>
    </x:row>
    <x:row r="21">
      <x:c r="A21" s="29" t="n">
        <x:v>18</x:v>
      </x:c>
      <x:c r="B21" s="29" t="n">
        <x:v>256</x:v>
      </x:c>
      <x:c r="C21" s="29" t="n">
        <x:v>247</x:v>
      </x:c>
      <x:c r="D21" s="29" t="n">
        <x:v>7</x:v>
      </x:c>
      <x:c r="E21" s="29" t="n">
        <x:v>2</x:v>
      </x:c>
      <x:c r="F21" s="29" t="n">
        <x:v>0</x:v>
      </x:c>
      <x:c r="G21" s="30" t="n">
        <x:f>C21/B21</x:f>
        <x:v>0.96484375</x:v>
      </x:c>
      <x:c r="H21" s="30" t="n">
        <x:f>D21/B21</x:f>
        <x:v>0.02734375</x:v>
      </x:c>
      <x:c r="I21" s="30" t="n">
        <x:f>E21/B21</x:f>
        <x:v>0.0078125</x:v>
      </x:c>
      <x:c r="J21" s="30" t="n">
        <x:f>F21/B21</x:f>
        <x:v>0</x:v>
      </x:c>
      <x:c r="K21" s="30" t="n">
        <x:f>G21</x:f>
        <x:v>0.96484375</x:v>
      </x:c>
      <x:c r="L21" s="30" t="n">
        <x:f>0.5*(ABS(G21-1.0)+ABS(H21-0.0)+ABS(I21-0.0)+ABS(J21-0.0))</x:f>
        <x:v>0.03515625</x:v>
      </x:c>
    </x:row>
    <x:row r="22">
      <x:c r="A22" s="29" t="n">
        <x:v>19</x:v>
      </x:c>
      <x:c r="B22" s="29" t="n">
        <x:v>256</x:v>
      </x:c>
      <x:c r="C22" s="29" t="n">
        <x:v>246</x:v>
      </x:c>
      <x:c r="D22" s="29" t="n">
        <x:v>9</x:v>
      </x:c>
      <x:c r="E22" s="29" t="n">
        <x:v>1</x:v>
      </x:c>
      <x:c r="F22" s="29" t="n">
        <x:v>0</x:v>
      </x:c>
      <x:c r="G22" s="30" t="n">
        <x:f>C22/B22</x:f>
        <x:v>0.9609375</x:v>
      </x:c>
      <x:c r="H22" s="30" t="n">
        <x:f>D22/B22</x:f>
        <x:v>0.03515625</x:v>
      </x:c>
      <x:c r="I22" s="30" t="n">
        <x:f>E22/B22</x:f>
        <x:v>0.00390625</x:v>
      </x:c>
      <x:c r="J22" s="30" t="n">
        <x:f>F22/B22</x:f>
        <x:v>0</x:v>
      </x:c>
      <x:c r="K22" s="30" t="n">
        <x:f>G22</x:f>
        <x:v>0.9609375</x:v>
      </x:c>
      <x:c r="L22" s="30" t="n">
        <x:f>0.5*(ABS(G22-1.0)+ABS(H22-0.0)+ABS(I22-0.0)+ABS(J22-0.0))</x:f>
        <x:v>0.0390625</x:v>
      </x:c>
    </x:row>
    <x:row r="23">
      <x:c r="A23" s="29" t="n">
        <x:v>20</x:v>
      </x:c>
      <x:c r="B23" s="29" t="n">
        <x:v>256</x:v>
      </x:c>
      <x:c r="C23" s="29" t="n">
        <x:v>249</x:v>
      </x:c>
      <x:c r="D23" s="29" t="n">
        <x:v>5</x:v>
      </x:c>
      <x:c r="E23" s="29" t="n">
        <x:v>1</x:v>
      </x:c>
      <x:c r="F23" s="29" t="n">
        <x:v>1</x:v>
      </x:c>
      <x:c r="G23" s="30" t="n">
        <x:f>C23/B23</x:f>
        <x:v>0.97265625</x:v>
      </x:c>
      <x:c r="H23" s="30" t="n">
        <x:f>D23/B23</x:f>
        <x:v>0.01953125</x:v>
      </x:c>
      <x:c r="I23" s="30" t="n">
        <x:f>E23/B23</x:f>
        <x:v>0.00390625</x:v>
      </x:c>
      <x:c r="J23" s="30" t="n">
        <x:f>F23/B23</x:f>
        <x:v>0.00390625</x:v>
      </x:c>
      <x:c r="K23" s="30" t="n">
        <x:f>G23</x:f>
        <x:v>0.97265625</x:v>
      </x:c>
      <x:c r="L23" s="30" t="n">
        <x:f>0.5*(ABS(G23-1.0)+ABS(H23-0.0)+ABS(I23-0.0)+ABS(J23-0.0))</x:f>
        <x:v>0.02734375</x:v>
      </x:c>
    </x:row>
    <x:row r="24">
      <x:c r="A24" s="29" t="n">
        <x:v>21</x:v>
      </x:c>
      <x:c r="B24" s="29" t="n">
        <x:v>256</x:v>
      </x:c>
      <x:c r="C24" s="29" t="n">
        <x:v>248</x:v>
      </x:c>
      <x:c r="D24" s="29" t="n">
        <x:v>8</x:v>
      </x:c>
      <x:c r="E24" s="29" t="n">
        <x:v>0</x:v>
      </x:c>
      <x:c r="F24" s="29" t="n">
        <x:v>0</x:v>
      </x:c>
      <x:c r="G24" s="30" t="n">
        <x:f>C24/B24</x:f>
        <x:v>0.96875</x:v>
      </x:c>
      <x:c r="H24" s="30" t="n">
        <x:f>D24/B24</x:f>
        <x:v>0.03125</x:v>
      </x:c>
      <x:c r="I24" s="30" t="n">
        <x:f>E24/B24</x:f>
        <x:v>0</x:v>
      </x:c>
      <x:c r="J24" s="30" t="n">
        <x:f>F24/B24</x:f>
        <x:v>0</x:v>
      </x:c>
      <x:c r="K24" s="30" t="n">
        <x:f>G24</x:f>
        <x:v>0.96875</x:v>
      </x:c>
      <x:c r="L24" s="30" t="n">
        <x:f>0.5*(ABS(G24-1.0)+ABS(H24-0.0)+ABS(I24-0.0)+ABS(J24-0.0))</x:f>
        <x:v>0.03125</x:v>
      </x:c>
    </x:row>
    <x:row r="25">
      <x:c r="A25" s="29" t="n">
        <x:v>22</x:v>
      </x:c>
      <x:c r="B25" s="29" t="n">
        <x:v>256</x:v>
      </x:c>
      <x:c r="C25" s="29" t="n">
        <x:v>243</x:v>
      </x:c>
      <x:c r="D25" s="29" t="n">
        <x:v>10</x:v>
      </x:c>
      <x:c r="E25" s="29" t="n">
        <x:v>3</x:v>
      </x:c>
      <x:c r="F25" s="29" t="n">
        <x:v>0</x:v>
      </x:c>
      <x:c r="G25" s="30" t="n">
        <x:f>C25/B25</x:f>
        <x:v>0.94921875</x:v>
      </x:c>
      <x:c r="H25" s="30" t="n">
        <x:f>D25/B25</x:f>
        <x:v>0.0390625</x:v>
      </x:c>
      <x:c r="I25" s="30" t="n">
        <x:f>E25/B25</x:f>
        <x:v>0.01171875</x:v>
      </x:c>
      <x:c r="J25" s="30" t="n">
        <x:f>F25/B25</x:f>
        <x:v>0</x:v>
      </x:c>
      <x:c r="K25" s="30" t="n">
        <x:f>G25</x:f>
        <x:v>0.94921875</x:v>
      </x:c>
      <x:c r="L25" s="30" t="n">
        <x:f>0.5*(ABS(G25-1.0)+ABS(H25-0.0)+ABS(I25-0.0)+ABS(J25-0.0))</x:f>
        <x:v>0.05078125</x:v>
      </x:c>
    </x:row>
    <x:row r="26">
      <x:c r="A26" s="29" t="n">
        <x:v>23</x:v>
      </x:c>
      <x:c r="B26" s="29" t="n">
        <x:v>256</x:v>
      </x:c>
      <x:c r="C26" s="29" t="n">
        <x:v>248</x:v>
      </x:c>
      <x:c r="D26" s="29" t="n">
        <x:v>5</x:v>
      </x:c>
      <x:c r="E26" s="29" t="n">
        <x:v>2</x:v>
      </x:c>
      <x:c r="F26" s="29" t="n">
        <x:v>1</x:v>
      </x:c>
      <x:c r="G26" s="30" t="n">
        <x:f>C26/B26</x:f>
        <x:v>0.96875</x:v>
      </x:c>
      <x:c r="H26" s="30" t="n">
        <x:f>D26/B26</x:f>
        <x:v>0.01953125</x:v>
      </x:c>
      <x:c r="I26" s="30" t="n">
        <x:f>E26/B26</x:f>
        <x:v>0.0078125</x:v>
      </x:c>
      <x:c r="J26" s="30" t="n">
        <x:f>F26/B26</x:f>
        <x:v>0.00390625</x:v>
      </x:c>
      <x:c r="K26" s="30" t="n">
        <x:f>G26</x:f>
        <x:v>0.96875</x:v>
      </x:c>
      <x:c r="L26" s="30" t="n">
        <x:f>0.5*(ABS(G26-1.0)+ABS(H26-0.0)+ABS(I26-0.0)+ABS(J26-0.0))</x:f>
        <x:v>0.03125</x:v>
      </x:c>
    </x:row>
    <x:row r="27">
      <x:c r="A27" s="29" t="n">
        <x:v>24</x:v>
      </x:c>
      <x:c r="B27" s="29" t="n">
        <x:v>256</x:v>
      </x:c>
      <x:c r="C27" s="29" t="n">
        <x:v>245</x:v>
      </x:c>
      <x:c r="D27" s="29" t="n">
        <x:v>7</x:v>
      </x:c>
      <x:c r="E27" s="29" t="n">
        <x:v>3</x:v>
      </x:c>
      <x:c r="F27" s="29" t="n">
        <x:v>1</x:v>
      </x:c>
      <x:c r="G27" s="30" t="n">
        <x:f>C27/B27</x:f>
        <x:v>0.95703125</x:v>
      </x:c>
      <x:c r="H27" s="30" t="n">
        <x:f>D27/B27</x:f>
        <x:v>0.02734375</x:v>
      </x:c>
      <x:c r="I27" s="30" t="n">
        <x:f>E27/B27</x:f>
        <x:v>0.01171875</x:v>
      </x:c>
      <x:c r="J27" s="30" t="n">
        <x:f>F27/B27</x:f>
        <x:v>0.00390625</x:v>
      </x:c>
      <x:c r="K27" s="30" t="n">
        <x:f>G27</x:f>
        <x:v>0.95703125</x:v>
      </x:c>
      <x:c r="L27" s="30" t="n">
        <x:f>0.5*(ABS(G27-1.0)+ABS(H27-0.0)+ABS(I27-0.0)+ABS(J27-0.0))</x:f>
        <x:v>0.04296875</x:v>
      </x:c>
    </x:row>
    <x:row r="28">
      <x:c r="A28" s="29" t="n">
        <x:v>25</x:v>
      </x:c>
      <x:c r="B28" s="29" t="n">
        <x:v>256</x:v>
      </x:c>
      <x:c r="C28" s="29" t="n">
        <x:v>246</x:v>
      </x:c>
      <x:c r="D28" s="29" t="n">
        <x:v>8</x:v>
      </x:c>
      <x:c r="E28" s="29" t="n">
        <x:v>2</x:v>
      </x:c>
      <x:c r="F28" s="29" t="n">
        <x:v>0</x:v>
      </x:c>
      <x:c r="G28" s="30" t="n">
        <x:f>C28/B28</x:f>
        <x:v>0.9609375</x:v>
      </x:c>
      <x:c r="H28" s="30" t="n">
        <x:f>D28/B28</x:f>
        <x:v>0.03125</x:v>
      </x:c>
      <x:c r="I28" s="30" t="n">
        <x:f>E28/B28</x:f>
        <x:v>0.0078125</x:v>
      </x:c>
      <x:c r="J28" s="30" t="n">
        <x:f>F28/B28</x:f>
        <x:v>0</x:v>
      </x:c>
      <x:c r="K28" s="30" t="n">
        <x:f>G28</x:f>
        <x:v>0.9609375</x:v>
      </x:c>
      <x:c r="L28" s="30" t="n">
        <x:f>0.5*(ABS(G28-1.0)+ABS(H28-0.0)+ABS(I28-0.0)+ABS(J28-0.0))</x:f>
        <x:v>0.0390625</x:v>
      </x:c>
    </x:row>
    <x:row r="29">
      <x:c r="A29" s="29" t="n">
        <x:v>26</x:v>
      </x:c>
      <x:c r="B29" s="29" t="n">
        <x:v>256</x:v>
      </x:c>
      <x:c r="C29" s="29" t="n">
        <x:v>253</x:v>
      </x:c>
      <x:c r="D29" s="29" t="n">
        <x:v>3</x:v>
      </x:c>
      <x:c r="E29" s="29" t="n">
        <x:v>0</x:v>
      </x:c>
      <x:c r="F29" s="29" t="n">
        <x:v>0</x:v>
      </x:c>
      <x:c r="G29" s="30" t="n">
        <x:f>C29/B29</x:f>
        <x:v>0.98828125</x:v>
      </x:c>
      <x:c r="H29" s="30" t="n">
        <x:f>D29/B29</x:f>
        <x:v>0.01171875</x:v>
      </x:c>
      <x:c r="I29" s="30" t="n">
        <x:f>E29/B29</x:f>
        <x:v>0</x:v>
      </x:c>
      <x:c r="J29" s="30" t="n">
        <x:f>F29/B29</x:f>
        <x:v>0</x:v>
      </x:c>
      <x:c r="K29" s="30" t="n">
        <x:f>G29</x:f>
        <x:v>0.98828125</x:v>
      </x:c>
      <x:c r="L29" s="30" t="n">
        <x:f>0.5*(ABS(G29-1.0)+ABS(H29-0.0)+ABS(I29-0.0)+ABS(J29-0.0))</x:f>
        <x:v>0.01171875</x:v>
      </x:c>
    </x:row>
    <x:row r="30">
      <x:c r="A30" s="29" t="n">
        <x:v>27</x:v>
      </x:c>
      <x:c r="B30" s="29" t="n">
        <x:v>256</x:v>
      </x:c>
      <x:c r="C30" s="29" t="n">
        <x:v>249</x:v>
      </x:c>
      <x:c r="D30" s="29" t="n">
        <x:v>4</x:v>
      </x:c>
      <x:c r="E30" s="29" t="n">
        <x:v>2</x:v>
      </x:c>
      <x:c r="F30" s="29" t="n">
        <x:v>1</x:v>
      </x:c>
      <x:c r="G30" s="30" t="n">
        <x:f>C30/B30</x:f>
        <x:v>0.97265625</x:v>
      </x:c>
      <x:c r="H30" s="30" t="n">
        <x:f>D30/B30</x:f>
        <x:v>0.015625</x:v>
      </x:c>
      <x:c r="I30" s="30" t="n">
        <x:f>E30/B30</x:f>
        <x:v>0.0078125</x:v>
      </x:c>
      <x:c r="J30" s="30" t="n">
        <x:f>F30/B30</x:f>
        <x:v>0.00390625</x:v>
      </x:c>
      <x:c r="K30" s="30" t="n">
        <x:f>G30</x:f>
        <x:v>0.97265625</x:v>
      </x:c>
      <x:c r="L30" s="30" t="n">
        <x:f>0.5*(ABS(G30-1.0)+ABS(H30-0.0)+ABS(I30-0.0)+ABS(J30-0.0))</x:f>
        <x:v>0.02734375</x:v>
      </x:c>
    </x:row>
    <x:row r="31">
      <x:c r="A31" s="29" t="n">
        <x:v>28</x:v>
      </x:c>
      <x:c r="B31" s="29" t="n">
        <x:v>256</x:v>
      </x:c>
      <x:c r="C31" s="29" t="n">
        <x:v>249</x:v>
      </x:c>
      <x:c r="D31" s="29" t="n">
        <x:v>5</x:v>
      </x:c>
      <x:c r="E31" s="29" t="n">
        <x:v>2</x:v>
      </x:c>
      <x:c r="F31" s="29" t="n">
        <x:v>0</x:v>
      </x:c>
      <x:c r="G31" s="30" t="n">
        <x:f>C31/B31</x:f>
        <x:v>0.97265625</x:v>
      </x:c>
      <x:c r="H31" s="30" t="n">
        <x:f>D31/B31</x:f>
        <x:v>0.01953125</x:v>
      </x:c>
      <x:c r="I31" s="30" t="n">
        <x:f>E31/B31</x:f>
        <x:v>0.0078125</x:v>
      </x:c>
      <x:c r="J31" s="30" t="n">
        <x:f>F31/B31</x:f>
        <x:v>0</x:v>
      </x:c>
      <x:c r="K31" s="30" t="n">
        <x:f>G31</x:f>
        <x:v>0.97265625</x:v>
      </x:c>
      <x:c r="L31" s="30" t="n">
        <x:f>0.5*(ABS(G31-1.0)+ABS(H31-0.0)+ABS(I31-0.0)+ABS(J31-0.0))</x:f>
        <x:v>0.02734375</x:v>
      </x:c>
    </x:row>
    <x:row r="32">
      <x:c r="A32" s="29" t="n">
        <x:v>29</x:v>
      </x:c>
      <x:c r="B32" s="29" t="n">
        <x:v>256</x:v>
      </x:c>
      <x:c r="C32" s="29" t="n">
        <x:v>249</x:v>
      </x:c>
      <x:c r="D32" s="29" t="n">
        <x:v>7</x:v>
      </x:c>
      <x:c r="E32" s="29" t="n">
        <x:v>0</x:v>
      </x:c>
      <x:c r="F32" s="29" t="n">
        <x:v>0</x:v>
      </x:c>
      <x:c r="G32" s="30" t="n">
        <x:f>C32/B32</x:f>
        <x:v>0.97265625</x:v>
      </x:c>
      <x:c r="H32" s="30" t="n">
        <x:f>D32/B32</x:f>
        <x:v>0.02734375</x:v>
      </x:c>
      <x:c r="I32" s="30" t="n">
        <x:f>E32/B32</x:f>
        <x:v>0</x:v>
      </x:c>
      <x:c r="J32" s="30" t="n">
        <x:f>F32/B32</x:f>
        <x:v>0</x:v>
      </x:c>
      <x:c r="K32" s="30" t="n">
        <x:f>G32</x:f>
        <x:v>0.97265625</x:v>
      </x:c>
      <x:c r="L32" s="30" t="n">
        <x:f>0.5*(ABS(G32-1.0)+ABS(H32-0.0)+ABS(I32-0.0)+ABS(J32-0.0))</x:f>
        <x:v>0.02734375</x:v>
      </x:c>
    </x:row>
    <x:row r="33">
      <x:c r="A33" s="29" t="n">
        <x:v>30</x:v>
      </x:c>
      <x:c r="B33" s="29" t="n">
        <x:v>256</x:v>
      </x:c>
      <x:c r="C33" s="29" t="n">
        <x:v>243</x:v>
      </x:c>
      <x:c r="D33" s="29" t="n">
        <x:v>13</x:v>
      </x:c>
      <x:c r="E33" s="29" t="n">
        <x:v>0</x:v>
      </x:c>
      <x:c r="F33" s="29" t="n">
        <x:v>0</x:v>
      </x:c>
      <x:c r="G33" s="30" t="n">
        <x:f>C33/B33</x:f>
        <x:v>0.94921875</x:v>
      </x:c>
      <x:c r="H33" s="30" t="n">
        <x:f>D33/B33</x:f>
        <x:v>0.05078125</x:v>
      </x:c>
      <x:c r="I33" s="30" t="n">
        <x:f>E33/B33</x:f>
        <x:v>0</x:v>
      </x:c>
      <x:c r="J33" s="30" t="n">
        <x:f>F33/B33</x:f>
        <x:v>0</x:v>
      </x:c>
      <x:c r="K33" s="30" t="n">
        <x:f>G33</x:f>
        <x:v>0.94921875</x:v>
      </x:c>
      <x:c r="L33" s="30" t="n">
        <x:f>0.5*(ABS(G33-1.0)+ABS(H33-0.0)+ABS(I33-0.0)+ABS(J33-0.0))</x:f>
        <x:v>0.05078125</x:v>
      </x:c>
    </x:row>
    <x:row r="34">
      <x:c r="A34" s="29" t="n">
        <x:v>31</x:v>
      </x:c>
      <x:c r="B34" s="29" t="n">
        <x:v>256</x:v>
      </x:c>
      <x:c r="C34" s="29" t="n">
        <x:v>249</x:v>
      </x:c>
      <x:c r="D34" s="29" t="n">
        <x:v>6</x:v>
      </x:c>
      <x:c r="E34" s="29" t="n">
        <x:v>1</x:v>
      </x:c>
      <x:c r="F34" s="29" t="n">
        <x:v>0</x:v>
      </x:c>
      <x:c r="G34" s="30" t="n">
        <x:f>C34/B34</x:f>
        <x:v>0.97265625</x:v>
      </x:c>
      <x:c r="H34" s="30" t="n">
        <x:f>D34/B34</x:f>
        <x:v>0.0234375</x:v>
      </x:c>
      <x:c r="I34" s="30" t="n">
        <x:f>E34/B34</x:f>
        <x:v>0.00390625</x:v>
      </x:c>
      <x:c r="J34" s="30" t="n">
        <x:f>F34/B34</x:f>
        <x:v>0</x:v>
      </x:c>
      <x:c r="K34" s="30" t="n">
        <x:f>G34</x:f>
        <x:v>0.97265625</x:v>
      </x:c>
      <x:c r="L34" s="30" t="n">
        <x:f>0.5*(ABS(G34-1.0)+ABS(H34-0.0)+ABS(I34-0.0)+ABS(J34-0.0))</x:f>
        <x:v>0.02734375</x:v>
      </x:c>
    </x:row>
    <x:row r="35">
      <x:c r="A35" s="29" t="n">
        <x:v>32</x:v>
      </x:c>
      <x:c r="B35" s="29" t="n">
        <x:v>256</x:v>
      </x:c>
      <x:c r="C35" s="29" t="n">
        <x:v>253</x:v>
      </x:c>
      <x:c r="D35" s="29" t="n">
        <x:v>1</x:v>
      </x:c>
      <x:c r="E35" s="29" t="n">
        <x:v>2</x:v>
      </x:c>
      <x:c r="F35" s="29" t="n">
        <x:v>0</x:v>
      </x:c>
      <x:c r="G35" s="30" t="n">
        <x:f>C35/B35</x:f>
        <x:v>0.98828125</x:v>
      </x:c>
      <x:c r="H35" s="30" t="n">
        <x:f>D35/B35</x:f>
        <x:v>0.00390625</x:v>
      </x:c>
      <x:c r="I35" s="30" t="n">
        <x:f>E35/B35</x:f>
        <x:v>0.0078125</x:v>
      </x:c>
      <x:c r="J35" s="30" t="n">
        <x:f>F35/B35</x:f>
        <x:v>0</x:v>
      </x:c>
      <x:c r="K35" s="30" t="n">
        <x:f>G35</x:f>
        <x:v>0.98828125</x:v>
      </x:c>
      <x:c r="L35" s="30" t="n">
        <x:f>0.5*(ABS(G35-1.0)+ABS(H35-0.0)+ABS(I35-0.0)+ABS(J35-0.0))</x:f>
        <x:v>0.01171875</x:v>
      </x:c>
    </x:row>
    <x:row r="36">
      <x:c r="A36" s="29" t="n">
        <x:v>33</x:v>
      </x:c>
      <x:c r="B36" s="29" t="n">
        <x:v>256</x:v>
      </x:c>
      <x:c r="C36" s="29" t="n">
        <x:v>251</x:v>
      </x:c>
      <x:c r="D36" s="29" t="n">
        <x:v>3</x:v>
      </x:c>
      <x:c r="E36" s="29" t="n">
        <x:v>2</x:v>
      </x:c>
      <x:c r="F36" s="29" t="n">
        <x:v>0</x:v>
      </x:c>
      <x:c r="G36" s="30" t="n">
        <x:f>C36/B36</x:f>
        <x:v>0.98046875</x:v>
      </x:c>
      <x:c r="H36" s="30" t="n">
        <x:f>D36/B36</x:f>
        <x:v>0.01171875</x:v>
      </x:c>
      <x:c r="I36" s="30" t="n">
        <x:f>E36/B36</x:f>
        <x:v>0.0078125</x:v>
      </x:c>
      <x:c r="J36" s="30" t="n">
        <x:f>F36/B36</x:f>
        <x:v>0</x:v>
      </x:c>
      <x:c r="K36" s="30" t="n">
        <x:f>G36</x:f>
        <x:v>0.98046875</x:v>
      </x:c>
      <x:c r="L36" s="30" t="n">
        <x:f>0.5*(ABS(G36-1.0)+ABS(H36-0.0)+ABS(I36-0.0)+ABS(J36-0.0))</x:f>
        <x:v>0.01953125</x:v>
      </x:c>
    </x:row>
    <x:row r="37">
      <x:c r="A37" s="29" t="n">
        <x:v>34</x:v>
      </x:c>
      <x:c r="B37" s="29" t="n">
        <x:v>256</x:v>
      </x:c>
      <x:c r="C37" s="29" t="n">
        <x:v>248</x:v>
      </x:c>
      <x:c r="D37" s="29" t="n">
        <x:v>5</x:v>
      </x:c>
      <x:c r="E37" s="29" t="n">
        <x:v>2</x:v>
      </x:c>
      <x:c r="F37" s="29" t="n">
        <x:v>1</x:v>
      </x:c>
      <x:c r="G37" s="30" t="n">
        <x:f>C37/B37</x:f>
        <x:v>0.96875</x:v>
      </x:c>
      <x:c r="H37" s="30" t="n">
        <x:f>D37/B37</x:f>
        <x:v>0.01953125</x:v>
      </x:c>
      <x:c r="I37" s="30" t="n">
        <x:f>E37/B37</x:f>
        <x:v>0.0078125</x:v>
      </x:c>
      <x:c r="J37" s="30" t="n">
        <x:f>F37/B37</x:f>
        <x:v>0.00390625</x:v>
      </x:c>
      <x:c r="K37" s="30" t="n">
        <x:f>G37</x:f>
        <x:v>0.96875</x:v>
      </x:c>
      <x:c r="L37" s="30" t="n">
        <x:f>0.5*(ABS(G37-1.0)+ABS(H37-0.0)+ABS(I37-0.0)+ABS(J37-0.0))</x:f>
        <x:v>0.03125</x:v>
      </x:c>
    </x:row>
    <x:row r="38">
      <x:c r="A38" s="29" t="n">
        <x:v>35</x:v>
      </x:c>
      <x:c r="B38" s="29" t="n">
        <x:v>256</x:v>
      </x:c>
      <x:c r="C38" s="29" t="n">
        <x:v>251</x:v>
      </x:c>
      <x:c r="D38" s="29" t="n">
        <x:v>5</x:v>
      </x:c>
      <x:c r="E38" s="29" t="n">
        <x:v>0</x:v>
      </x:c>
      <x:c r="F38" s="29" t="n">
        <x:v>0</x:v>
      </x:c>
      <x:c r="G38" s="30" t="n">
        <x:f>C38/B38</x:f>
        <x:v>0.98046875</x:v>
      </x:c>
      <x:c r="H38" s="30" t="n">
        <x:f>D38/B38</x:f>
        <x:v>0.01953125</x:v>
      </x:c>
      <x:c r="I38" s="30" t="n">
        <x:f>E38/B38</x:f>
        <x:v>0</x:v>
      </x:c>
      <x:c r="J38" s="30" t="n">
        <x:f>F38/B38</x:f>
        <x:v>0</x:v>
      </x:c>
      <x:c r="K38" s="30" t="n">
        <x:f>G38</x:f>
        <x:v>0.98046875</x:v>
      </x:c>
      <x:c r="L38" s="30" t="n">
        <x:f>0.5*(ABS(G38-1.0)+ABS(H38-0.0)+ABS(I38-0.0)+ABS(J38-0.0))</x:f>
        <x:v>0.01953125</x:v>
      </x:c>
    </x:row>
    <x:row r="39">
      <x:c r="A39" s="29" t="n">
        <x:v>36</x:v>
      </x:c>
      <x:c r="B39" s="29" t="n">
        <x:v>256</x:v>
      </x:c>
      <x:c r="C39" s="29" t="n">
        <x:v>251</x:v>
      </x:c>
      <x:c r="D39" s="29" t="n">
        <x:v>4</x:v>
      </x:c>
      <x:c r="E39" s="29" t="n">
        <x:v>1</x:v>
      </x:c>
      <x:c r="F39" s="29" t="n">
        <x:v>0</x:v>
      </x:c>
      <x:c r="G39" s="30" t="n">
        <x:f>C39/B39</x:f>
        <x:v>0.98046875</x:v>
      </x:c>
      <x:c r="H39" s="30" t="n">
        <x:f>D39/B39</x:f>
        <x:v>0.015625</x:v>
      </x:c>
      <x:c r="I39" s="30" t="n">
        <x:f>E39/B39</x:f>
        <x:v>0.00390625</x:v>
      </x:c>
      <x:c r="J39" s="30" t="n">
        <x:f>F39/B39</x:f>
        <x:v>0</x:v>
      </x:c>
      <x:c r="K39" s="30" t="n">
        <x:f>G39</x:f>
        <x:v>0.98046875</x:v>
      </x:c>
      <x:c r="L39" s="30" t="n">
        <x:f>0.5*(ABS(G39-1.0)+ABS(H39-0.0)+ABS(I39-0.0)+ABS(J39-0.0))</x:f>
        <x:v>0.01953125</x:v>
      </x:c>
    </x:row>
    <x:row r="40">
      <x:c r="A40" s="29" t="n">
        <x:v>37</x:v>
      </x:c>
      <x:c r="B40" s="29" t="n">
        <x:v>256</x:v>
      </x:c>
      <x:c r="C40" s="29" t="n">
        <x:v>250</x:v>
      </x:c>
      <x:c r="D40" s="29" t="n">
        <x:v>5</x:v>
      </x:c>
      <x:c r="E40" s="29" t="n">
        <x:v>1</x:v>
      </x:c>
      <x:c r="F40" s="29" t="n">
        <x:v>0</x:v>
      </x:c>
      <x:c r="G40" s="30" t="n">
        <x:f>C40/B40</x:f>
        <x:v>0.9765625</x:v>
      </x:c>
      <x:c r="H40" s="30" t="n">
        <x:f>D40/B40</x:f>
        <x:v>0.01953125</x:v>
      </x:c>
      <x:c r="I40" s="30" t="n">
        <x:f>E40/B40</x:f>
        <x:v>0.00390625</x:v>
      </x:c>
      <x:c r="J40" s="30" t="n">
        <x:f>F40/B40</x:f>
        <x:v>0</x:v>
      </x:c>
      <x:c r="K40" s="30" t="n">
        <x:f>G40</x:f>
        <x:v>0.9765625</x:v>
      </x:c>
      <x:c r="L40" s="30" t="n">
        <x:f>0.5*(ABS(G40-1.0)+ABS(H40-0.0)+ABS(I40-0.0)+ABS(J40-0.0))</x:f>
        <x:v>0.0234375</x:v>
      </x:c>
    </x:row>
    <x:row r="41">
      <x:c r="A41" s="29" t="n">
        <x:v>38</x:v>
      </x:c>
      <x:c r="B41" s="29" t="n">
        <x:v>256</x:v>
      </x:c>
      <x:c r="C41" s="29" t="n">
        <x:v>250</x:v>
      </x:c>
      <x:c r="D41" s="29" t="n">
        <x:v>4</x:v>
      </x:c>
      <x:c r="E41" s="29" t="n">
        <x:v>1</x:v>
      </x:c>
      <x:c r="F41" s="29" t="n">
        <x:v>1</x:v>
      </x:c>
      <x:c r="G41" s="30" t="n">
        <x:f>C41/B41</x:f>
        <x:v>0.9765625</x:v>
      </x:c>
      <x:c r="H41" s="30" t="n">
        <x:f>D41/B41</x:f>
        <x:v>0.015625</x:v>
      </x:c>
      <x:c r="I41" s="30" t="n">
        <x:f>E41/B41</x:f>
        <x:v>0.00390625</x:v>
      </x:c>
      <x:c r="J41" s="30" t="n">
        <x:f>F41/B41</x:f>
        <x:v>0.00390625</x:v>
      </x:c>
      <x:c r="K41" s="30" t="n">
        <x:f>G41</x:f>
        <x:v>0.9765625</x:v>
      </x:c>
      <x:c r="L41" s="30" t="n">
        <x:f>0.5*(ABS(G41-1.0)+ABS(H41-0.0)+ABS(I41-0.0)+ABS(J41-0.0))</x:f>
        <x:v>0.0234375</x:v>
      </x:c>
    </x:row>
    <x:row r="42">
      <x:c r="A42" s="29" t="n">
        <x:v>39</x:v>
      </x:c>
      <x:c r="B42" s="29" t="n">
        <x:v>256</x:v>
      </x:c>
      <x:c r="C42" s="29" t="n">
        <x:v>246</x:v>
      </x:c>
      <x:c r="D42" s="29" t="n">
        <x:v>6</x:v>
      </x:c>
      <x:c r="E42" s="29" t="n">
        <x:v>3</x:v>
      </x:c>
      <x:c r="F42" s="29" t="n">
        <x:v>1</x:v>
      </x:c>
      <x:c r="G42" s="30" t="n">
        <x:f>C42/B42</x:f>
        <x:v>0.9609375</x:v>
      </x:c>
      <x:c r="H42" s="30" t="n">
        <x:f>D42/B42</x:f>
        <x:v>0.0234375</x:v>
      </x:c>
      <x:c r="I42" s="30" t="n">
        <x:f>E42/B42</x:f>
        <x:v>0.01171875</x:v>
      </x:c>
      <x:c r="J42" s="30" t="n">
        <x:f>F42/B42</x:f>
        <x:v>0.00390625</x:v>
      </x:c>
      <x:c r="K42" s="30" t="n">
        <x:f>G42</x:f>
        <x:v>0.9609375</x:v>
      </x:c>
      <x:c r="L42" s="30" t="n">
        <x:f>0.5*(ABS(G42-1.0)+ABS(H42-0.0)+ABS(I42-0.0)+ABS(J42-0.0))</x:f>
        <x:v>0.0390625</x:v>
      </x:c>
    </x:row>
    <x:row r="43">
      <x:c r="A43" s="29" t="n">
        <x:v>40</x:v>
      </x:c>
      <x:c r="B43" s="29" t="n">
        <x:v>256</x:v>
      </x:c>
      <x:c r="C43" s="29" t="n">
        <x:v>246</x:v>
      </x:c>
      <x:c r="D43" s="29" t="n">
        <x:v>5</x:v>
      </x:c>
      <x:c r="E43" s="29" t="n">
        <x:v>5</x:v>
      </x:c>
      <x:c r="F43" s="29" t="n">
        <x:v>0</x:v>
      </x:c>
      <x:c r="G43" s="30" t="n">
        <x:f>C43/B43</x:f>
        <x:v>0.9609375</x:v>
      </x:c>
      <x:c r="H43" s="30" t="n">
        <x:f>D43/B43</x:f>
        <x:v>0.01953125</x:v>
      </x:c>
      <x:c r="I43" s="30" t="n">
        <x:f>E43/B43</x:f>
        <x:v>0.01953125</x:v>
      </x:c>
      <x:c r="J43" s="30" t="n">
        <x:f>F43/B43</x:f>
        <x:v>0</x:v>
      </x:c>
      <x:c r="K43" s="30" t="n">
        <x:f>G43</x:f>
        <x:v>0.9609375</x:v>
      </x:c>
      <x:c r="L43" s="30" t="n">
        <x:f>0.5*(ABS(G43-1.0)+ABS(H43-0.0)+ABS(I43-0.0)+ABS(J43-0.0))</x:f>
        <x:v>0.0390625</x:v>
      </x:c>
    </x:row>
    <x:row r="44">
      <x:c r="A44" s="29" t="n">
        <x:v>41</x:v>
      </x:c>
      <x:c r="B44" s="29" t="n">
        <x:v>256</x:v>
      </x:c>
      <x:c r="C44" s="29" t="n">
        <x:v>245</x:v>
      </x:c>
      <x:c r="D44" s="29" t="n">
        <x:v>9</x:v>
      </x:c>
      <x:c r="E44" s="29" t="n">
        <x:v>1</x:v>
      </x:c>
      <x:c r="F44" s="29" t="n">
        <x:v>1</x:v>
      </x:c>
      <x:c r="G44" s="30" t="n">
        <x:f>C44/B44</x:f>
        <x:v>0.95703125</x:v>
      </x:c>
      <x:c r="H44" s="30" t="n">
        <x:f>D44/B44</x:f>
        <x:v>0.03515625</x:v>
      </x:c>
      <x:c r="I44" s="30" t="n">
        <x:f>E44/B44</x:f>
        <x:v>0.00390625</x:v>
      </x:c>
      <x:c r="J44" s="30" t="n">
        <x:f>F44/B44</x:f>
        <x:v>0.00390625</x:v>
      </x:c>
      <x:c r="K44" s="30" t="n">
        <x:f>G44</x:f>
        <x:v>0.95703125</x:v>
      </x:c>
      <x:c r="L44" s="30" t="n">
        <x:f>0.5*(ABS(G44-1.0)+ABS(H44-0.0)+ABS(I44-0.0)+ABS(J44-0.0))</x:f>
        <x:v>0.04296875</x:v>
      </x:c>
    </x:row>
    <x:row r="45">
      <x:c r="A45" s="29" t="n">
        <x:v>42</x:v>
      </x:c>
      <x:c r="B45" s="29" t="n">
        <x:v>256</x:v>
      </x:c>
      <x:c r="C45" s="29" t="n">
        <x:v>249</x:v>
      </x:c>
      <x:c r="D45" s="29" t="n">
        <x:v>5</x:v>
      </x:c>
      <x:c r="E45" s="29" t="n">
        <x:v>2</x:v>
      </x:c>
      <x:c r="F45" s="29" t="n">
        <x:v>0</x:v>
      </x:c>
      <x:c r="G45" s="30" t="n">
        <x:f>C45/B45</x:f>
        <x:v>0.97265625</x:v>
      </x:c>
      <x:c r="H45" s="30" t="n">
        <x:f>D45/B45</x:f>
        <x:v>0.01953125</x:v>
      </x:c>
      <x:c r="I45" s="30" t="n">
        <x:f>E45/B45</x:f>
        <x:v>0.0078125</x:v>
      </x:c>
      <x:c r="J45" s="30" t="n">
        <x:f>F45/B45</x:f>
        <x:v>0</x:v>
      </x:c>
      <x:c r="K45" s="30" t="n">
        <x:f>G45</x:f>
        <x:v>0.97265625</x:v>
      </x:c>
      <x:c r="L45" s="30" t="n">
        <x:f>0.5*(ABS(G45-1.0)+ABS(H45-0.0)+ABS(I45-0.0)+ABS(J45-0.0))</x:f>
        <x:v>0.02734375</x:v>
      </x:c>
    </x:row>
    <x:row r="46">
      <x:c r="A46" s="29" t="n">
        <x:v>43</x:v>
      </x:c>
      <x:c r="B46" s="29" t="n">
        <x:v>256</x:v>
      </x:c>
      <x:c r="C46" s="29" t="n">
        <x:v>253</x:v>
      </x:c>
      <x:c r="D46" s="29" t="n">
        <x:v>3</x:v>
      </x:c>
      <x:c r="E46" s="29" t="n">
        <x:v>0</x:v>
      </x:c>
      <x:c r="F46" s="29" t="n">
        <x:v>0</x:v>
      </x:c>
      <x:c r="G46" s="30" t="n">
        <x:f>C46/B46</x:f>
        <x:v>0.98828125</x:v>
      </x:c>
      <x:c r="H46" s="30" t="n">
        <x:f>D46/B46</x:f>
        <x:v>0.01171875</x:v>
      </x:c>
      <x:c r="I46" s="30" t="n">
        <x:f>E46/B46</x:f>
        <x:v>0</x:v>
      </x:c>
      <x:c r="J46" s="30" t="n">
        <x:f>F46/B46</x:f>
        <x:v>0</x:v>
      </x:c>
      <x:c r="K46" s="30" t="n">
        <x:f>G46</x:f>
        <x:v>0.98828125</x:v>
      </x:c>
      <x:c r="L46" s="30" t="n">
        <x:f>0.5*(ABS(G46-1.0)+ABS(H46-0.0)+ABS(I46-0.0)+ABS(J46-0.0))</x:f>
        <x:v>0.01171875</x:v>
      </x:c>
    </x:row>
    <x:row r="47">
      <x:c r="A47" s="29" t="n">
        <x:v>44</x:v>
      </x:c>
      <x:c r="B47" s="29" t="n">
        <x:v>256</x:v>
      </x:c>
      <x:c r="C47" s="29" t="n">
        <x:v>254</x:v>
      </x:c>
      <x:c r="D47" s="29" t="n">
        <x:v>2</x:v>
      </x:c>
      <x:c r="E47" s="29" t="n">
        <x:v>0</x:v>
      </x:c>
      <x:c r="F47" s="29" t="n">
        <x:v>0</x:v>
      </x:c>
      <x:c r="G47" s="30" t="n">
        <x:f>C47/B47</x:f>
        <x:v>0.9921875</x:v>
      </x:c>
      <x:c r="H47" s="30" t="n">
        <x:f>D47/B47</x:f>
        <x:v>0.0078125</x:v>
      </x:c>
      <x:c r="I47" s="30" t="n">
        <x:f>E47/B47</x:f>
        <x:v>0</x:v>
      </x:c>
      <x:c r="J47" s="30" t="n">
        <x:f>F47/B47</x:f>
        <x:v>0</x:v>
      </x:c>
      <x:c r="K47" s="30" t="n">
        <x:f>G47</x:f>
        <x:v>0.9921875</x:v>
      </x:c>
      <x:c r="L47" s="30" t="n">
        <x:f>0.5*(ABS(G47-1.0)+ABS(H47-0.0)+ABS(I47-0.0)+ABS(J47-0.0))</x:f>
        <x:v>0.0078125</x:v>
      </x:c>
    </x:row>
    <x:row r="48">
      <x:c r="A48" s="29" t="n">
        <x:v>45</x:v>
      </x:c>
      <x:c r="B48" s="29" t="n">
        <x:v>256</x:v>
      </x:c>
      <x:c r="C48" s="29" t="n">
        <x:v>249</x:v>
      </x:c>
      <x:c r="D48" s="29" t="n">
        <x:v>5</x:v>
      </x:c>
      <x:c r="E48" s="29" t="n">
        <x:v>2</x:v>
      </x:c>
      <x:c r="F48" s="29" t="n">
        <x:v>0</x:v>
      </x:c>
      <x:c r="G48" s="30" t="n">
        <x:f>C48/B48</x:f>
        <x:v>0.97265625</x:v>
      </x:c>
      <x:c r="H48" s="30" t="n">
        <x:f>D48/B48</x:f>
        <x:v>0.01953125</x:v>
      </x:c>
      <x:c r="I48" s="30" t="n">
        <x:f>E48/B48</x:f>
        <x:v>0.0078125</x:v>
      </x:c>
      <x:c r="J48" s="30" t="n">
        <x:f>F48/B48</x:f>
        <x:v>0</x:v>
      </x:c>
      <x:c r="K48" s="30" t="n">
        <x:f>G48</x:f>
        <x:v>0.97265625</x:v>
      </x:c>
      <x:c r="L48" s="30" t="n">
        <x:f>0.5*(ABS(G48-1.0)+ABS(H48-0.0)+ABS(I48-0.0)+ABS(J48-0.0))</x:f>
        <x:v>0.02734375</x:v>
      </x:c>
    </x:row>
    <x:row r="49">
      <x:c r="A49" s="29" t="n">
        <x:v>46</x:v>
      </x:c>
      <x:c r="B49" s="29" t="n">
        <x:v>256</x:v>
      </x:c>
      <x:c r="C49" s="29" t="n">
        <x:v>249</x:v>
      </x:c>
      <x:c r="D49" s="29" t="n">
        <x:v>6</x:v>
      </x:c>
      <x:c r="E49" s="29" t="n">
        <x:v>0</x:v>
      </x:c>
      <x:c r="F49" s="29" t="n">
        <x:v>1</x:v>
      </x:c>
      <x:c r="G49" s="30" t="n">
        <x:f>C49/B49</x:f>
        <x:v>0.97265625</x:v>
      </x:c>
      <x:c r="H49" s="30" t="n">
        <x:f>D49/B49</x:f>
        <x:v>0.0234375</x:v>
      </x:c>
      <x:c r="I49" s="30" t="n">
        <x:f>E49/B49</x:f>
        <x:v>0</x:v>
      </x:c>
      <x:c r="J49" s="30" t="n">
        <x:f>F49/B49</x:f>
        <x:v>0.00390625</x:v>
      </x:c>
      <x:c r="K49" s="30" t="n">
        <x:f>G49</x:f>
        <x:v>0.97265625</x:v>
      </x:c>
      <x:c r="L49" s="30" t="n">
        <x:f>0.5*(ABS(G49-1.0)+ABS(H49-0.0)+ABS(I49-0.0)+ABS(J49-0.0))</x:f>
        <x:v>0.02734375</x:v>
      </x:c>
    </x:row>
    <x:row r="50">
      <x:c r="A50" s="29" t="n">
        <x:v>47</x:v>
      </x:c>
      <x:c r="B50" s="29" t="n">
        <x:v>256</x:v>
      </x:c>
      <x:c r="C50" s="29" t="n">
        <x:v>247</x:v>
      </x:c>
      <x:c r="D50" s="29" t="n">
        <x:v>7</x:v>
      </x:c>
      <x:c r="E50" s="29" t="n">
        <x:v>2</x:v>
      </x:c>
      <x:c r="F50" s="29" t="n">
        <x:v>0</x:v>
      </x:c>
      <x:c r="G50" s="30" t="n">
        <x:f>C50/B50</x:f>
        <x:v>0.96484375</x:v>
      </x:c>
      <x:c r="H50" s="30" t="n">
        <x:f>D50/B50</x:f>
        <x:v>0.02734375</x:v>
      </x:c>
      <x:c r="I50" s="30" t="n">
        <x:f>E50/B50</x:f>
        <x:v>0.0078125</x:v>
      </x:c>
      <x:c r="J50" s="30" t="n">
        <x:f>F50/B50</x:f>
        <x:v>0</x:v>
      </x:c>
      <x:c r="K50" s="30" t="n">
        <x:f>G50</x:f>
        <x:v>0.96484375</x:v>
      </x:c>
      <x:c r="L50" s="30" t="n">
        <x:f>0.5*(ABS(G50-1.0)+ABS(H50-0.0)+ABS(I50-0.0)+ABS(J50-0.0))</x:f>
        <x:v>0.03515625</x:v>
      </x:c>
    </x:row>
    <x:row r="51">
      <x:c r="A51" s="29" t="n">
        <x:v>48</x:v>
      </x:c>
      <x:c r="B51" s="29" t="n">
        <x:v>256</x:v>
      </x:c>
      <x:c r="C51" s="29" t="n">
        <x:v>248</x:v>
      </x:c>
      <x:c r="D51" s="29" t="n">
        <x:v>6</x:v>
      </x:c>
      <x:c r="E51" s="29" t="n">
        <x:v>1</x:v>
      </x:c>
      <x:c r="F51" s="29" t="n">
        <x:v>1</x:v>
      </x:c>
      <x:c r="G51" s="30" t="n">
        <x:f>C51/B51</x:f>
        <x:v>0.96875</x:v>
      </x:c>
      <x:c r="H51" s="30" t="n">
        <x:f>D51/B51</x:f>
        <x:v>0.0234375</x:v>
      </x:c>
      <x:c r="I51" s="30" t="n">
        <x:f>E51/B51</x:f>
        <x:v>0.00390625</x:v>
      </x:c>
      <x:c r="J51" s="30" t="n">
        <x:f>F51/B51</x:f>
        <x:v>0.00390625</x:v>
      </x:c>
      <x:c r="K51" s="30" t="n">
        <x:f>G51</x:f>
        <x:v>0.96875</x:v>
      </x:c>
      <x:c r="L51" s="30" t="n">
        <x:f>0.5*(ABS(G51-1.0)+ABS(H51-0.0)+ABS(I51-0.0)+ABS(J51-0.0))</x:f>
        <x:v>0.03125</x:v>
      </x:c>
    </x:row>
    <x:row r="52">
      <x:c r="A52" s="29" t="n">
        <x:v>49</x:v>
      </x:c>
      <x:c r="B52" s="29" t="n">
        <x:v>256</x:v>
      </x:c>
      <x:c r="C52" s="29" t="n">
        <x:v>251</x:v>
      </x:c>
      <x:c r="D52" s="29" t="n">
        <x:v>5</x:v>
      </x:c>
      <x:c r="E52" s="29" t="n">
        <x:v>0</x:v>
      </x:c>
      <x:c r="F52" s="29" t="n">
        <x:v>0</x:v>
      </x:c>
      <x:c r="G52" s="30" t="n">
        <x:f>C52/B52</x:f>
        <x:v>0.98046875</x:v>
      </x:c>
      <x:c r="H52" s="30" t="n">
        <x:f>D52/B52</x:f>
        <x:v>0.01953125</x:v>
      </x:c>
      <x:c r="I52" s="30" t="n">
        <x:f>E52/B52</x:f>
        <x:v>0</x:v>
      </x:c>
      <x:c r="J52" s="30" t="n">
        <x:f>F52/B52</x:f>
        <x:v>0</x:v>
      </x:c>
      <x:c r="K52" s="30" t="n">
        <x:f>G52</x:f>
        <x:v>0.98046875</x:v>
      </x:c>
      <x:c r="L52" s="30" t="n">
        <x:f>0.5*(ABS(G52-1.0)+ABS(H52-0.0)+ABS(I52-0.0)+ABS(J52-0.0))</x:f>
        <x:v>0.01953125</x:v>
      </x:c>
    </x:row>
    <x:row r="53">
      <x:c r="A53" s="29" t="n">
        <x:v>50</x:v>
      </x:c>
      <x:c r="B53" s="29" t="n">
        <x:v>256</x:v>
      </x:c>
      <x:c r="C53" s="29" t="n">
        <x:v>251</x:v>
      </x:c>
      <x:c r="D53" s="29" t="n">
        <x:v>5</x:v>
      </x:c>
      <x:c r="E53" s="29" t="n">
        <x:v>0</x:v>
      </x:c>
      <x:c r="F53" s="29" t="n">
        <x:v>0</x:v>
      </x:c>
      <x:c r="G53" s="30" t="n">
        <x:f>C53/B53</x:f>
        <x:v>0.98046875</x:v>
      </x:c>
      <x:c r="H53" s="30" t="n">
        <x:f>D53/B53</x:f>
        <x:v>0.01953125</x:v>
      </x:c>
      <x:c r="I53" s="30" t="n">
        <x:f>E53/B53</x:f>
        <x:v>0</x:v>
      </x:c>
      <x:c r="J53" s="30" t="n">
        <x:f>F53/B53</x:f>
        <x:v>0</x:v>
      </x:c>
      <x:c r="K53" s="30" t="n">
        <x:f>G53</x:f>
        <x:v>0.98046875</x:v>
      </x:c>
      <x:c r="L53" s="30" t="n">
        <x:f>0.5*(ABS(G53-1.0)+ABS(H53-0.0)+ABS(I53-0.0)+ABS(J53-0.0))</x:f>
        <x:v>0.01953125</x:v>
      </x:c>
    </x:row>
    <x:row r="54">
      <x:c r="A54" s="29" t="n">
        <x:v>51</x:v>
      </x:c>
      <x:c r="B54" s="29" t="n">
        <x:v>256</x:v>
      </x:c>
      <x:c r="C54" s="29" t="n">
        <x:v>250</x:v>
      </x:c>
      <x:c r="D54" s="29" t="n">
        <x:v>5</x:v>
      </x:c>
      <x:c r="E54" s="29" t="n">
        <x:v>0</x:v>
      </x:c>
      <x:c r="F54" s="29" t="n">
        <x:v>1</x:v>
      </x:c>
      <x:c r="G54" s="30" t="n">
        <x:f>C54/B54</x:f>
        <x:v>0.9765625</x:v>
      </x:c>
      <x:c r="H54" s="30" t="n">
        <x:f>D54/B54</x:f>
        <x:v>0.01953125</x:v>
      </x:c>
      <x:c r="I54" s="30" t="n">
        <x:f>E54/B54</x:f>
        <x:v>0</x:v>
      </x:c>
      <x:c r="J54" s="30" t="n">
        <x:f>F54/B54</x:f>
        <x:v>0.00390625</x:v>
      </x:c>
      <x:c r="K54" s="30" t="n">
        <x:f>G54</x:f>
        <x:v>0.9765625</x:v>
      </x:c>
      <x:c r="L54" s="30" t="n">
        <x:f>0.5*(ABS(G54-1.0)+ABS(H54-0.0)+ABS(I54-0.0)+ABS(J54-0.0))</x:f>
        <x:v>0.0234375</x:v>
      </x:c>
    </x:row>
    <x:row r="55">
      <x:c r="A55" s="29" t="n">
        <x:v>52</x:v>
      </x:c>
      <x:c r="B55" s="29" t="n">
        <x:v>256</x:v>
      </x:c>
      <x:c r="C55" s="29" t="n">
        <x:v>251</x:v>
      </x:c>
      <x:c r="D55" s="29" t="n">
        <x:v>4</x:v>
      </x:c>
      <x:c r="E55" s="29" t="n">
        <x:v>0</x:v>
      </x:c>
      <x:c r="F55" s="29" t="n">
        <x:v>1</x:v>
      </x:c>
      <x:c r="G55" s="30" t="n">
        <x:f>C55/B55</x:f>
        <x:v>0.98046875</x:v>
      </x:c>
      <x:c r="H55" s="30" t="n">
        <x:f>D55/B55</x:f>
        <x:v>0.015625</x:v>
      </x:c>
      <x:c r="I55" s="30" t="n">
        <x:f>E55/B55</x:f>
        <x:v>0</x:v>
      </x:c>
      <x:c r="J55" s="30" t="n">
        <x:f>F55/B55</x:f>
        <x:v>0.00390625</x:v>
      </x:c>
      <x:c r="K55" s="30" t="n">
        <x:f>G55</x:f>
        <x:v>0.98046875</x:v>
      </x:c>
      <x:c r="L55" s="30" t="n">
        <x:f>0.5*(ABS(G55-1.0)+ABS(H55-0.0)+ABS(I55-0.0)+ABS(J55-0.0))</x:f>
        <x:v>0.01953125</x:v>
      </x:c>
    </x:row>
    <x:row r="56">
      <x:c r="A56" s="29" t="n">
        <x:v>53</x:v>
      </x:c>
      <x:c r="B56" s="29" t="n">
        <x:v>256</x:v>
      </x:c>
      <x:c r="C56" s="29" t="n">
        <x:v>247</x:v>
      </x:c>
      <x:c r="D56" s="29" t="n">
        <x:v>5</x:v>
      </x:c>
      <x:c r="E56" s="29" t="n">
        <x:v>2</x:v>
      </x:c>
      <x:c r="F56" s="29" t="n">
        <x:v>2</x:v>
      </x:c>
      <x:c r="G56" s="30" t="n">
        <x:f>C56/B56</x:f>
        <x:v>0.96484375</x:v>
      </x:c>
      <x:c r="H56" s="30" t="n">
        <x:f>D56/B56</x:f>
        <x:v>0.01953125</x:v>
      </x:c>
      <x:c r="I56" s="30" t="n">
        <x:f>E56/B56</x:f>
        <x:v>0.0078125</x:v>
      </x:c>
      <x:c r="J56" s="30" t="n">
        <x:f>F56/B56</x:f>
        <x:v>0.0078125</x:v>
      </x:c>
      <x:c r="K56" s="30" t="n">
        <x:f>G56</x:f>
        <x:v>0.96484375</x:v>
      </x:c>
      <x:c r="L56" s="30" t="n">
        <x:f>0.5*(ABS(G56-1.0)+ABS(H56-0.0)+ABS(I56-0.0)+ABS(J56-0.0))</x:f>
        <x:v>0.03515625</x:v>
      </x:c>
    </x:row>
    <x:row r="57">
      <x:c r="A57" s="29" t="n">
        <x:v>54</x:v>
      </x:c>
      <x:c r="B57" s="29" t="n">
        <x:v>256</x:v>
      </x:c>
      <x:c r="C57" s="29" t="n">
        <x:v>250</x:v>
      </x:c>
      <x:c r="D57" s="29" t="n">
        <x:v>5</x:v>
      </x:c>
      <x:c r="E57" s="29" t="n">
        <x:v>0</x:v>
      </x:c>
      <x:c r="F57" s="29" t="n">
        <x:v>1</x:v>
      </x:c>
      <x:c r="G57" s="30" t="n">
        <x:f>C57/B57</x:f>
        <x:v>0.9765625</x:v>
      </x:c>
      <x:c r="H57" s="30" t="n">
        <x:f>D57/B57</x:f>
        <x:v>0.01953125</x:v>
      </x:c>
      <x:c r="I57" s="30" t="n">
        <x:f>E57/B57</x:f>
        <x:v>0</x:v>
      </x:c>
      <x:c r="J57" s="30" t="n">
        <x:f>F57/B57</x:f>
        <x:v>0.00390625</x:v>
      </x:c>
      <x:c r="K57" s="30" t="n">
        <x:f>G57</x:f>
        <x:v>0.9765625</x:v>
      </x:c>
      <x:c r="L57" s="30" t="n">
        <x:f>0.5*(ABS(G57-1.0)+ABS(H57-0.0)+ABS(I57-0.0)+ABS(J57-0.0))</x:f>
        <x:v>0.0234375</x:v>
      </x:c>
    </x:row>
    <x:row r="58">
      <x:c r="A58" s="29" t="n">
        <x:v>55</x:v>
      </x:c>
      <x:c r="B58" s="29" t="n">
        <x:v>256</x:v>
      </x:c>
      <x:c r="C58" s="29" t="n">
        <x:v>247</x:v>
      </x:c>
      <x:c r="D58" s="29" t="n">
        <x:v>7</x:v>
      </x:c>
      <x:c r="E58" s="29" t="n">
        <x:v>1</x:v>
      </x:c>
      <x:c r="F58" s="29" t="n">
        <x:v>1</x:v>
      </x:c>
      <x:c r="G58" s="30" t="n">
        <x:f>C58/B58</x:f>
        <x:v>0.96484375</x:v>
      </x:c>
      <x:c r="H58" s="30" t="n">
        <x:f>D58/B58</x:f>
        <x:v>0.02734375</x:v>
      </x:c>
      <x:c r="I58" s="30" t="n">
        <x:f>E58/B58</x:f>
        <x:v>0.00390625</x:v>
      </x:c>
      <x:c r="J58" s="30" t="n">
        <x:f>F58/B58</x:f>
        <x:v>0.00390625</x:v>
      </x:c>
      <x:c r="K58" s="30" t="n">
        <x:f>G58</x:f>
        <x:v>0.96484375</x:v>
      </x:c>
      <x:c r="L58" s="30" t="n">
        <x:f>0.5*(ABS(G58-1.0)+ABS(H58-0.0)+ABS(I58-0.0)+ABS(J58-0.0))</x:f>
        <x:v>0.03515625</x:v>
      </x:c>
    </x:row>
    <x:row r="59">
      <x:c r="A59" s="29" t="n">
        <x:v>56</x:v>
      </x:c>
      <x:c r="B59" s="29" t="n">
        <x:v>256</x:v>
      </x:c>
      <x:c r="C59" s="29" t="n">
        <x:v>252</x:v>
      </x:c>
      <x:c r="D59" s="29" t="n">
        <x:v>4</x:v>
      </x:c>
      <x:c r="E59" s="29" t="n">
        <x:v>0</x:v>
      </x:c>
      <x:c r="F59" s="29" t="n">
        <x:v>0</x:v>
      </x:c>
      <x:c r="G59" s="30" t="n">
        <x:f>C59/B59</x:f>
        <x:v>0.984375</x:v>
      </x:c>
      <x:c r="H59" s="30" t="n">
        <x:f>D59/B59</x:f>
        <x:v>0.015625</x:v>
      </x:c>
      <x:c r="I59" s="30" t="n">
        <x:f>E59/B59</x:f>
        <x:v>0</x:v>
      </x:c>
      <x:c r="J59" s="30" t="n">
        <x:f>F59/B59</x:f>
        <x:v>0</x:v>
      </x:c>
      <x:c r="K59" s="30" t="n">
        <x:f>G59</x:f>
        <x:v>0.984375</x:v>
      </x:c>
      <x:c r="L59" s="30" t="n">
        <x:f>0.5*(ABS(G59-1.0)+ABS(H59-0.0)+ABS(I59-0.0)+ABS(J59-0.0))</x:f>
        <x:v>0.015625</x:v>
      </x:c>
    </x:row>
    <x:row r="60">
      <x:c r="A60" s="29" t="n">
        <x:v>57</x:v>
      </x:c>
      <x:c r="B60" s="29" t="n">
        <x:v>256</x:v>
      </x:c>
      <x:c r="C60" s="29" t="n">
        <x:v>246</x:v>
      </x:c>
      <x:c r="D60" s="29" t="n">
        <x:v>7</x:v>
      </x:c>
      <x:c r="E60" s="29" t="n">
        <x:v>1</x:v>
      </x:c>
      <x:c r="F60" s="29" t="n">
        <x:v>2</x:v>
      </x:c>
      <x:c r="G60" s="30" t="n">
        <x:f>C60/B60</x:f>
        <x:v>0.9609375</x:v>
      </x:c>
      <x:c r="H60" s="30" t="n">
        <x:f>D60/B60</x:f>
        <x:v>0.02734375</x:v>
      </x:c>
      <x:c r="I60" s="30" t="n">
        <x:f>E60/B60</x:f>
        <x:v>0.00390625</x:v>
      </x:c>
      <x:c r="J60" s="30" t="n">
        <x:f>F60/B60</x:f>
        <x:v>0.0078125</x:v>
      </x:c>
      <x:c r="K60" s="30" t="n">
        <x:f>G60</x:f>
        <x:v>0.9609375</x:v>
      </x:c>
      <x:c r="L60" s="30" t="n">
        <x:f>0.5*(ABS(G60-1.0)+ABS(H60-0.0)+ABS(I60-0.0)+ABS(J60-0.0))</x:f>
        <x:v>0.0390625</x:v>
      </x:c>
    </x:row>
    <x:row r="61">
      <x:c r="A61" s="29" t="n">
        <x:v>58</x:v>
      </x:c>
      <x:c r="B61" s="29" t="n">
        <x:v>256</x:v>
      </x:c>
      <x:c r="C61" s="29" t="n">
        <x:v>249</x:v>
      </x:c>
      <x:c r="D61" s="29" t="n">
        <x:v>4</x:v>
      </x:c>
      <x:c r="E61" s="29" t="n">
        <x:v>3</x:v>
      </x:c>
      <x:c r="F61" s="29" t="n">
        <x:v>0</x:v>
      </x:c>
      <x:c r="G61" s="30" t="n">
        <x:f>C61/B61</x:f>
        <x:v>0.97265625</x:v>
      </x:c>
      <x:c r="H61" s="30" t="n">
        <x:f>D61/B61</x:f>
        <x:v>0.015625</x:v>
      </x:c>
      <x:c r="I61" s="30" t="n">
        <x:f>E61/B61</x:f>
        <x:v>0.01171875</x:v>
      </x:c>
      <x:c r="J61" s="30" t="n">
        <x:f>F61/B61</x:f>
        <x:v>0</x:v>
      </x:c>
      <x:c r="K61" s="30" t="n">
        <x:f>G61</x:f>
        <x:v>0.97265625</x:v>
      </x:c>
      <x:c r="L61" s="30" t="n">
        <x:f>0.5*(ABS(G61-1.0)+ABS(H61-0.0)+ABS(I61-0.0)+ABS(J61-0.0))</x:f>
        <x:v>0.02734375</x:v>
      </x:c>
    </x:row>
    <x:row r="62">
      <x:c r="A62" s="29" t="n">
        <x:v>59</x:v>
      </x:c>
      <x:c r="B62" s="29" t="n">
        <x:v>256</x:v>
      </x:c>
      <x:c r="C62" s="29" t="n">
        <x:v>252</x:v>
      </x:c>
      <x:c r="D62" s="29" t="n">
        <x:v>4</x:v>
      </x:c>
      <x:c r="E62" s="29" t="n">
        <x:v>0</x:v>
      </x:c>
      <x:c r="F62" s="29" t="n">
        <x:v>0</x:v>
      </x:c>
      <x:c r="G62" s="30" t="n">
        <x:f>C62/B62</x:f>
        <x:v>0.984375</x:v>
      </x:c>
      <x:c r="H62" s="30" t="n">
        <x:f>D62/B62</x:f>
        <x:v>0.015625</x:v>
      </x:c>
      <x:c r="I62" s="30" t="n">
        <x:f>E62/B62</x:f>
        <x:v>0</x:v>
      </x:c>
      <x:c r="J62" s="30" t="n">
        <x:f>F62/B62</x:f>
        <x:v>0</x:v>
      </x:c>
      <x:c r="K62" s="30" t="n">
        <x:f>G62</x:f>
        <x:v>0.984375</x:v>
      </x:c>
      <x:c r="L62" s="30" t="n">
        <x:f>0.5*(ABS(G62-1.0)+ABS(H62-0.0)+ABS(I62-0.0)+ABS(J62-0.0))</x:f>
        <x:v>0.015625</x:v>
      </x:c>
    </x:row>
    <x:row r="63">
      <x:c r="A63" s="29" t="n">
        <x:v>60</x:v>
      </x:c>
      <x:c r="B63" s="29" t="n">
        <x:v>256</x:v>
      </x:c>
      <x:c r="C63" s="29" t="n">
        <x:v>252</x:v>
      </x:c>
      <x:c r="D63" s="29" t="n">
        <x:v>4</x:v>
      </x:c>
      <x:c r="E63" s="29" t="n">
        <x:v>0</x:v>
      </x:c>
      <x:c r="F63" s="29" t="n">
        <x:v>0</x:v>
      </x:c>
      <x:c r="G63" s="30" t="n">
        <x:f>C63/B63</x:f>
        <x:v>0.984375</x:v>
      </x:c>
      <x:c r="H63" s="30" t="n">
        <x:f>D63/B63</x:f>
        <x:v>0.015625</x:v>
      </x:c>
      <x:c r="I63" s="30" t="n">
        <x:f>E63/B63</x:f>
        <x:v>0</x:v>
      </x:c>
      <x:c r="J63" s="30" t="n">
        <x:f>F63/B63</x:f>
        <x:v>0</x:v>
      </x:c>
      <x:c r="K63" s="30" t="n">
        <x:f>G63</x:f>
        <x:v>0.984375</x:v>
      </x:c>
      <x:c r="L63" s="30" t="n">
        <x:f>0.5*(ABS(G63-1.0)+ABS(H63-0.0)+ABS(I63-0.0)+ABS(J63-0.0))</x:f>
        <x:v>0.015625</x:v>
      </x:c>
    </x:row>
    <x:row r="64">
      <x:c r="A64" s="29" t="n">
        <x:v>61</x:v>
      </x:c>
      <x:c r="B64" s="29" t="n">
        <x:v>256</x:v>
      </x:c>
      <x:c r="C64" s="29" t="n">
        <x:v>245</x:v>
      </x:c>
      <x:c r="D64" s="29" t="n">
        <x:v>7</x:v>
      </x:c>
      <x:c r="E64" s="29" t="n">
        <x:v>2</x:v>
      </x:c>
      <x:c r="F64" s="29" t="n">
        <x:v>2</x:v>
      </x:c>
      <x:c r="G64" s="30" t="n">
        <x:f>C64/B64</x:f>
        <x:v>0.95703125</x:v>
      </x:c>
      <x:c r="H64" s="30" t="n">
        <x:f>D64/B64</x:f>
        <x:v>0.02734375</x:v>
      </x:c>
      <x:c r="I64" s="30" t="n">
        <x:f>E64/B64</x:f>
        <x:v>0.0078125</x:v>
      </x:c>
      <x:c r="J64" s="30" t="n">
        <x:f>F64/B64</x:f>
        <x:v>0.0078125</x:v>
      </x:c>
      <x:c r="K64" s="30" t="n">
        <x:f>G64</x:f>
        <x:v>0.95703125</x:v>
      </x:c>
      <x:c r="L64" s="30" t="n">
        <x:f>0.5*(ABS(G64-1.0)+ABS(H64-0.0)+ABS(I64-0.0)+ABS(J64-0.0))</x:f>
        <x:v>0.04296875</x:v>
      </x:c>
    </x:row>
    <x:row r="65">
      <x:c r="A65" s="29" t="n">
        <x:v>62</x:v>
      </x:c>
      <x:c r="B65" s="29" t="n">
        <x:v>256</x:v>
      </x:c>
      <x:c r="C65" s="29" t="n">
        <x:v>251</x:v>
      </x:c>
      <x:c r="D65" s="29" t="n">
        <x:v>4</x:v>
      </x:c>
      <x:c r="E65" s="29" t="n">
        <x:v>0</x:v>
      </x:c>
      <x:c r="F65" s="29" t="n">
        <x:v>1</x:v>
      </x:c>
      <x:c r="G65" s="30" t="n">
        <x:f>C65/B65</x:f>
        <x:v>0.98046875</x:v>
      </x:c>
      <x:c r="H65" s="30" t="n">
        <x:f>D65/B65</x:f>
        <x:v>0.015625</x:v>
      </x:c>
      <x:c r="I65" s="30" t="n">
        <x:f>E65/B65</x:f>
        <x:v>0</x:v>
      </x:c>
      <x:c r="J65" s="30" t="n">
        <x:f>F65/B65</x:f>
        <x:v>0.00390625</x:v>
      </x:c>
      <x:c r="K65" s="30" t="n">
        <x:f>G65</x:f>
        <x:v>0.98046875</x:v>
      </x:c>
      <x:c r="L65" s="30" t="n">
        <x:f>0.5*(ABS(G65-1.0)+ABS(H65-0.0)+ABS(I65-0.0)+ABS(J65-0.0))</x:f>
        <x:v>0.01953125</x:v>
      </x:c>
    </x:row>
    <x:row r="66">
      <x:c r="A66" s="29" t="n">
        <x:v>63</x:v>
      </x:c>
      <x:c r="B66" s="29" t="n">
        <x:v>256</x:v>
      </x:c>
      <x:c r="C66" s="29" t="n">
        <x:v>251</x:v>
      </x:c>
      <x:c r="D66" s="29" t="n">
        <x:v>3</x:v>
      </x:c>
      <x:c r="E66" s="29" t="n">
        <x:v>2</x:v>
      </x:c>
      <x:c r="F66" s="29" t="n">
        <x:v>0</x:v>
      </x:c>
      <x:c r="G66" s="30" t="n">
        <x:f>C66/B66</x:f>
        <x:v>0.98046875</x:v>
      </x:c>
      <x:c r="H66" s="30" t="n">
        <x:f>D66/B66</x:f>
        <x:v>0.01171875</x:v>
      </x:c>
      <x:c r="I66" s="30" t="n">
        <x:f>E66/B66</x:f>
        <x:v>0.0078125</x:v>
      </x:c>
      <x:c r="J66" s="30" t="n">
        <x:f>F66/B66</x:f>
        <x:v>0</x:v>
      </x:c>
      <x:c r="K66" s="30" t="n">
        <x:f>G66</x:f>
        <x:v>0.98046875</x:v>
      </x:c>
      <x:c r="L66" s="30" t="n">
        <x:f>0.5*(ABS(G66-1.0)+ABS(H66-0.0)+ABS(I66-0.0)+ABS(J66-0.0))</x:f>
        <x:v>0.01953125</x:v>
      </x:c>
    </x:row>
    <x:row r="67">
      <x:c r="A67" s="29" t="n">
        <x:v>64</x:v>
      </x:c>
      <x:c r="B67" s="29" t="n">
        <x:v>256</x:v>
      </x:c>
      <x:c r="C67" s="29" t="n">
        <x:v>247</x:v>
      </x:c>
      <x:c r="D67" s="29" t="n">
        <x:v>7</x:v>
      </x:c>
      <x:c r="E67" s="29" t="n">
        <x:v>0</x:v>
      </x:c>
      <x:c r="F67" s="29" t="n">
        <x:v>2</x:v>
      </x:c>
      <x:c r="G67" s="30" t="n">
        <x:f>C67/B67</x:f>
        <x:v>0.96484375</x:v>
      </x:c>
      <x:c r="H67" s="30" t="n">
        <x:f>D67/B67</x:f>
        <x:v>0.02734375</x:v>
      </x:c>
      <x:c r="I67" s="30" t="n">
        <x:f>E67/B67</x:f>
        <x:v>0</x:v>
      </x:c>
      <x:c r="J67" s="30" t="n">
        <x:f>F67/B67</x:f>
        <x:v>0.0078125</x:v>
      </x:c>
      <x:c r="K67" s="30" t="n">
        <x:f>G67</x:f>
        <x:v>0.96484375</x:v>
      </x:c>
      <x:c r="L67" s="30" t="n">
        <x:f>0.5*(ABS(G67-1.0)+ABS(H67-0.0)+ABS(I67-0.0)+ABS(J67-0.0))</x:f>
        <x:v>0.03515625</x:v>
      </x:c>
    </x:row>
    <x:row r="68">
      <x:c r="A68" s="29" t="n">
        <x:v>65</x:v>
      </x:c>
      <x:c r="B68" s="29" t="n">
        <x:v>256</x:v>
      </x:c>
      <x:c r="C68" s="29" t="n">
        <x:v>253</x:v>
      </x:c>
      <x:c r="D68" s="29" t="n">
        <x:v>2</x:v>
      </x:c>
      <x:c r="E68" s="29" t="n">
        <x:v>1</x:v>
      </x:c>
      <x:c r="F68" s="29" t="n">
        <x:v>0</x:v>
      </x:c>
      <x:c r="G68" s="30" t="n">
        <x:f>C68/B68</x:f>
        <x:v>0.98828125</x:v>
      </x:c>
      <x:c r="H68" s="30" t="n">
        <x:f>D68/B68</x:f>
        <x:v>0.0078125</x:v>
      </x:c>
      <x:c r="I68" s="30" t="n">
        <x:f>E68/B68</x:f>
        <x:v>0.00390625</x:v>
      </x:c>
      <x:c r="J68" s="30" t="n">
        <x:f>F68/B68</x:f>
        <x:v>0</x:v>
      </x:c>
      <x:c r="K68" s="30" t="n">
        <x:f>G68</x:f>
        <x:v>0.98828125</x:v>
      </x:c>
      <x:c r="L68" s="30" t="n">
        <x:f>0.5*(ABS(G68-1.0)+ABS(H68-0.0)+ABS(I68-0.0)+ABS(J68-0.0))</x:f>
        <x:v>0.01171875</x:v>
      </x:c>
    </x:row>
    <x:row r="69">
      <x:c r="A69" s="29" t="n">
        <x:v>66</x:v>
      </x:c>
      <x:c r="B69" s="29" t="n">
        <x:v>256</x:v>
      </x:c>
      <x:c r="C69" s="29" t="n">
        <x:v>254</x:v>
      </x:c>
      <x:c r="D69" s="29" t="n">
        <x:v>1</x:v>
      </x:c>
      <x:c r="E69" s="29" t="n">
        <x:v>1</x:v>
      </x:c>
      <x:c r="F69" s="29" t="n">
        <x:v>0</x:v>
      </x:c>
      <x:c r="G69" s="30" t="n">
        <x:f>C69/B69</x:f>
        <x:v>0.9921875</x:v>
      </x:c>
      <x:c r="H69" s="30" t="n">
        <x:f>D69/B69</x:f>
        <x:v>0.00390625</x:v>
      </x:c>
      <x:c r="I69" s="30" t="n">
        <x:f>E69/B69</x:f>
        <x:v>0.00390625</x:v>
      </x:c>
      <x:c r="J69" s="30" t="n">
        <x:f>F69/B69</x:f>
        <x:v>0</x:v>
      </x:c>
      <x:c r="K69" s="30" t="n">
        <x:f>G69</x:f>
        <x:v>0.9921875</x:v>
      </x:c>
      <x:c r="L69" s="30" t="n">
        <x:f>0.5*(ABS(G69-1.0)+ABS(H69-0.0)+ABS(I69-0.0)+ABS(J69-0.0))</x:f>
        <x:v>0.0078125</x:v>
      </x:c>
    </x:row>
    <x:row r="70">
      <x:c r="A70" s="29" t="n">
        <x:v>67</x:v>
      </x:c>
      <x:c r="B70" s="29" t="n">
        <x:v>256</x:v>
      </x:c>
      <x:c r="C70" s="29" t="n">
        <x:v>250</x:v>
      </x:c>
      <x:c r="D70" s="29" t="n">
        <x:v>5</x:v>
      </x:c>
      <x:c r="E70" s="29" t="n">
        <x:v>0</x:v>
      </x:c>
      <x:c r="F70" s="29" t="n">
        <x:v>1</x:v>
      </x:c>
      <x:c r="G70" s="30" t="n">
        <x:f>C70/B70</x:f>
        <x:v>0.9765625</x:v>
      </x:c>
      <x:c r="H70" s="30" t="n">
        <x:f>D70/B70</x:f>
        <x:v>0.01953125</x:v>
      </x:c>
      <x:c r="I70" s="30" t="n">
        <x:f>E70/B70</x:f>
        <x:v>0</x:v>
      </x:c>
      <x:c r="J70" s="30" t="n">
        <x:f>F70/B70</x:f>
        <x:v>0.00390625</x:v>
      </x:c>
      <x:c r="K70" s="30" t="n">
        <x:f>G70</x:f>
        <x:v>0.9765625</x:v>
      </x:c>
      <x:c r="L70" s="30" t="n">
        <x:f>0.5*(ABS(G70-1.0)+ABS(H70-0.0)+ABS(I70-0.0)+ABS(J70-0.0))</x:f>
        <x:v>0.0234375</x:v>
      </x:c>
    </x:row>
    <x:row r="71">
      <x:c r="A71" s="29" t="n">
        <x:v>68</x:v>
      </x:c>
      <x:c r="B71" s="29" t="n">
        <x:v>256</x:v>
      </x:c>
      <x:c r="C71" s="29" t="n">
        <x:v>245</x:v>
      </x:c>
      <x:c r="D71" s="29" t="n">
        <x:v>11</x:v>
      </x:c>
      <x:c r="E71" s="29" t="n">
        <x:v>0</x:v>
      </x:c>
      <x:c r="F71" s="29" t="n">
        <x:v>0</x:v>
      </x:c>
      <x:c r="G71" s="30" t="n">
        <x:f>C71/B71</x:f>
        <x:v>0.95703125</x:v>
      </x:c>
      <x:c r="H71" s="30" t="n">
        <x:f>D71/B71</x:f>
        <x:v>0.04296875</x:v>
      </x:c>
      <x:c r="I71" s="30" t="n">
        <x:f>E71/B71</x:f>
        <x:v>0</x:v>
      </x:c>
      <x:c r="J71" s="30" t="n">
        <x:f>F71/B71</x:f>
        <x:v>0</x:v>
      </x:c>
      <x:c r="K71" s="30" t="n">
        <x:f>G71</x:f>
        <x:v>0.95703125</x:v>
      </x:c>
      <x:c r="L71" s="30" t="n">
        <x:f>0.5*(ABS(G71-1.0)+ABS(H71-0.0)+ABS(I71-0.0)+ABS(J71-0.0))</x:f>
        <x:v>0.04296875</x:v>
      </x:c>
    </x:row>
    <x:row r="72">
      <x:c r="A72" s="29" t="n">
        <x:v>69</x:v>
      </x:c>
      <x:c r="B72" s="29" t="n">
        <x:v>256</x:v>
      </x:c>
      <x:c r="C72" s="29" t="n">
        <x:v>248</x:v>
      </x:c>
      <x:c r="D72" s="29" t="n">
        <x:v>6</x:v>
      </x:c>
      <x:c r="E72" s="29" t="n">
        <x:v>1</x:v>
      </x:c>
      <x:c r="F72" s="29" t="n">
        <x:v>1</x:v>
      </x:c>
      <x:c r="G72" s="30" t="n">
        <x:f>C72/B72</x:f>
        <x:v>0.96875</x:v>
      </x:c>
      <x:c r="H72" s="30" t="n">
        <x:f>D72/B72</x:f>
        <x:v>0.0234375</x:v>
      </x:c>
      <x:c r="I72" s="30" t="n">
        <x:f>E72/B72</x:f>
        <x:v>0.00390625</x:v>
      </x:c>
      <x:c r="J72" s="30" t="n">
        <x:f>F72/B72</x:f>
        <x:v>0.00390625</x:v>
      </x:c>
      <x:c r="K72" s="30" t="n">
        <x:f>G72</x:f>
        <x:v>0.96875</x:v>
      </x:c>
      <x:c r="L72" s="30" t="n">
        <x:f>0.5*(ABS(G72-1.0)+ABS(H72-0.0)+ABS(I72-0.0)+ABS(J72-0.0))</x:f>
        <x:v>0.03125</x:v>
      </x:c>
    </x:row>
    <x:row r="73">
      <x:c r="A73" s="29" t="n">
        <x:v>70</x:v>
      </x:c>
      <x:c r="B73" s="29" t="n">
        <x:v>256</x:v>
      </x:c>
      <x:c r="C73" s="29" t="n">
        <x:v>248</x:v>
      </x:c>
      <x:c r="D73" s="29" t="n">
        <x:v>7</x:v>
      </x:c>
      <x:c r="E73" s="29" t="n">
        <x:v>1</x:v>
      </x:c>
      <x:c r="F73" s="29" t="n">
        <x:v>0</x:v>
      </x:c>
      <x:c r="G73" s="30" t="n">
        <x:f>C73/B73</x:f>
        <x:v>0.96875</x:v>
      </x:c>
      <x:c r="H73" s="30" t="n">
        <x:f>D73/B73</x:f>
        <x:v>0.02734375</x:v>
      </x:c>
      <x:c r="I73" s="30" t="n">
        <x:f>E73/B73</x:f>
        <x:v>0.00390625</x:v>
      </x:c>
      <x:c r="J73" s="30" t="n">
        <x:f>F73/B73</x:f>
        <x:v>0</x:v>
      </x:c>
      <x:c r="K73" s="30" t="n">
        <x:f>G73</x:f>
        <x:v>0.96875</x:v>
      </x:c>
      <x:c r="L73" s="30" t="n">
        <x:f>0.5*(ABS(G73-1.0)+ABS(H73-0.0)+ABS(I73-0.0)+ABS(J73-0.0))</x:f>
        <x:v>0.03125</x:v>
      </x:c>
    </x:row>
    <x:row r="74">
      <x:c r="A74" s="29" t="n">
        <x:v>71</x:v>
      </x:c>
      <x:c r="B74" s="29" t="n">
        <x:v>256</x:v>
      </x:c>
      <x:c r="C74" s="29" t="n">
        <x:v>248</x:v>
      </x:c>
      <x:c r="D74" s="29" t="n">
        <x:v>8</x:v>
      </x:c>
      <x:c r="E74" s="29" t="n">
        <x:v>0</x:v>
      </x:c>
      <x:c r="F74" s="29" t="n">
        <x:v>0</x:v>
      </x:c>
      <x:c r="G74" s="30" t="n">
        <x:f>C74/B74</x:f>
        <x:v>0.96875</x:v>
      </x:c>
      <x:c r="H74" s="30" t="n">
        <x:f>D74/B74</x:f>
        <x:v>0.03125</x:v>
      </x:c>
      <x:c r="I74" s="30" t="n">
        <x:f>E74/B74</x:f>
        <x:v>0</x:v>
      </x:c>
      <x:c r="J74" s="30" t="n">
        <x:f>F74/B74</x:f>
        <x:v>0</x:v>
      </x:c>
      <x:c r="K74" s="30" t="n">
        <x:f>G74</x:f>
        <x:v>0.96875</x:v>
      </x:c>
      <x:c r="L74" s="30" t="n">
        <x:f>0.5*(ABS(G74-1.0)+ABS(H74-0.0)+ABS(I74-0.0)+ABS(J74-0.0))</x:f>
        <x:v>0.03125</x:v>
      </x:c>
    </x:row>
    <x:row r="75">
      <x:c r="A75" s="29" t="n">
        <x:v>72</x:v>
      </x:c>
      <x:c r="B75" s="29" t="n">
        <x:v>256</x:v>
      </x:c>
      <x:c r="C75" s="29" t="n">
        <x:v>251</x:v>
      </x:c>
      <x:c r="D75" s="29" t="n">
        <x:v>5</x:v>
      </x:c>
      <x:c r="E75" s="29" t="n">
        <x:v>0</x:v>
      </x:c>
      <x:c r="F75" s="29" t="n">
        <x:v>0</x:v>
      </x:c>
      <x:c r="G75" s="30" t="n">
        <x:f>C75/B75</x:f>
        <x:v>0.98046875</x:v>
      </x:c>
      <x:c r="H75" s="30" t="n">
        <x:f>D75/B75</x:f>
        <x:v>0.01953125</x:v>
      </x:c>
      <x:c r="I75" s="30" t="n">
        <x:f>E75/B75</x:f>
        <x:v>0</x:v>
      </x:c>
      <x:c r="J75" s="30" t="n">
        <x:f>F75/B75</x:f>
        <x:v>0</x:v>
      </x:c>
      <x:c r="K75" s="30" t="n">
        <x:f>G75</x:f>
        <x:v>0.98046875</x:v>
      </x:c>
      <x:c r="L75" s="30" t="n">
        <x:f>0.5*(ABS(G75-1.0)+ABS(H75-0.0)+ABS(I75-0.0)+ABS(J75-0.0))</x:f>
        <x:v>0.01953125</x:v>
      </x:c>
    </x:row>
    <x:row r="76">
      <x:c r="A76" s="29" t="n">
        <x:v>73</x:v>
      </x:c>
      <x:c r="B76" s="29" t="n">
        <x:v>256</x:v>
      </x:c>
      <x:c r="C76" s="29" t="n">
        <x:v>253</x:v>
      </x:c>
      <x:c r="D76" s="29" t="n">
        <x:v>3</x:v>
      </x:c>
      <x:c r="E76" s="29" t="n">
        <x:v>0</x:v>
      </x:c>
      <x:c r="F76" s="29" t="n">
        <x:v>0</x:v>
      </x:c>
      <x:c r="G76" s="30" t="n">
        <x:f>C76/B76</x:f>
        <x:v>0.98828125</x:v>
      </x:c>
      <x:c r="H76" s="30" t="n">
        <x:f>D76/B76</x:f>
        <x:v>0.01171875</x:v>
      </x:c>
      <x:c r="I76" s="30" t="n">
        <x:f>E76/B76</x:f>
        <x:v>0</x:v>
      </x:c>
      <x:c r="J76" s="30" t="n">
        <x:f>F76/B76</x:f>
        <x:v>0</x:v>
      </x:c>
      <x:c r="K76" s="30" t="n">
        <x:f>G76</x:f>
        <x:v>0.98828125</x:v>
      </x:c>
      <x:c r="L76" s="30" t="n">
        <x:f>0.5*(ABS(G76-1.0)+ABS(H76-0.0)+ABS(I76-0.0)+ABS(J76-0.0))</x:f>
        <x:v>0.01171875</x:v>
      </x:c>
    </x:row>
    <x:row r="77">
      <x:c r="A77" s="29" t="n">
        <x:v>74</x:v>
      </x:c>
      <x:c r="B77" s="29" t="n">
        <x:v>256</x:v>
      </x:c>
      <x:c r="C77" s="29" t="n">
        <x:v>249</x:v>
      </x:c>
      <x:c r="D77" s="29" t="n">
        <x:v>6</x:v>
      </x:c>
      <x:c r="E77" s="29" t="n">
        <x:v>0</x:v>
      </x:c>
      <x:c r="F77" s="29" t="n">
        <x:v>1</x:v>
      </x:c>
      <x:c r="G77" s="30" t="n">
        <x:f>C77/B77</x:f>
        <x:v>0.97265625</x:v>
      </x:c>
      <x:c r="H77" s="30" t="n">
        <x:f>D77/B77</x:f>
        <x:v>0.0234375</x:v>
      </x:c>
      <x:c r="I77" s="30" t="n">
        <x:f>E77/B77</x:f>
        <x:v>0</x:v>
      </x:c>
      <x:c r="J77" s="30" t="n">
        <x:f>F77/B77</x:f>
        <x:v>0.00390625</x:v>
      </x:c>
      <x:c r="K77" s="30" t="n">
        <x:f>G77</x:f>
        <x:v>0.97265625</x:v>
      </x:c>
      <x:c r="L77" s="30" t="n">
        <x:f>0.5*(ABS(G77-1.0)+ABS(H77-0.0)+ABS(I77-0.0)+ABS(J77-0.0))</x:f>
        <x:v>0.02734375</x:v>
      </x:c>
    </x:row>
    <x:row r="78">
      <x:c r="A78" s="29" t="n">
        <x:v>75</x:v>
      </x:c>
      <x:c r="B78" s="29" t="n">
        <x:v>256</x:v>
      </x:c>
      <x:c r="C78" s="29" t="n">
        <x:v>246</x:v>
      </x:c>
      <x:c r="D78" s="29" t="n">
        <x:v>8</x:v>
      </x:c>
      <x:c r="E78" s="29" t="n">
        <x:v>1</x:v>
      </x:c>
      <x:c r="F78" s="29" t="n">
        <x:v>1</x:v>
      </x:c>
      <x:c r="G78" s="30" t="n">
        <x:f>C78/B78</x:f>
        <x:v>0.9609375</x:v>
      </x:c>
      <x:c r="H78" s="30" t="n">
        <x:f>D78/B78</x:f>
        <x:v>0.03125</x:v>
      </x:c>
      <x:c r="I78" s="30" t="n">
        <x:f>E78/B78</x:f>
        <x:v>0.00390625</x:v>
      </x:c>
      <x:c r="J78" s="30" t="n">
        <x:f>F78/B78</x:f>
        <x:v>0.00390625</x:v>
      </x:c>
      <x:c r="K78" s="30" t="n">
        <x:f>G78</x:f>
        <x:v>0.9609375</x:v>
      </x:c>
      <x:c r="L78" s="30" t="n">
        <x:f>0.5*(ABS(G78-1.0)+ABS(H78-0.0)+ABS(I78-0.0)+ABS(J78-0.0))</x:f>
        <x:v>0.0390625</x:v>
      </x:c>
    </x:row>
    <x:row r="79">
      <x:c r="A79" s="29" t="n">
        <x:v>76</x:v>
      </x:c>
      <x:c r="B79" s="29" t="n">
        <x:v>256</x:v>
      </x:c>
      <x:c r="C79" s="29" t="n">
        <x:v>246</x:v>
      </x:c>
      <x:c r="D79" s="29" t="n">
        <x:v>7</x:v>
      </x:c>
      <x:c r="E79" s="29" t="n">
        <x:v>2</x:v>
      </x:c>
      <x:c r="F79" s="29" t="n">
        <x:v>1</x:v>
      </x:c>
      <x:c r="G79" s="30" t="n">
        <x:f>C79/B79</x:f>
        <x:v>0.9609375</x:v>
      </x:c>
      <x:c r="H79" s="30" t="n">
        <x:f>D79/B79</x:f>
        <x:v>0.02734375</x:v>
      </x:c>
      <x:c r="I79" s="30" t="n">
        <x:f>E79/B79</x:f>
        <x:v>0.0078125</x:v>
      </x:c>
      <x:c r="J79" s="30" t="n">
        <x:f>F79/B79</x:f>
        <x:v>0.00390625</x:v>
      </x:c>
      <x:c r="K79" s="30" t="n">
        <x:f>G79</x:f>
        <x:v>0.9609375</x:v>
      </x:c>
      <x:c r="L79" s="30" t="n">
        <x:f>0.5*(ABS(G79-1.0)+ABS(H79-0.0)+ABS(I79-0.0)+ABS(J79-0.0))</x:f>
        <x:v>0.0390625</x:v>
      </x:c>
    </x:row>
    <x:row r="80">
      <x:c r="A80" s="29" t="n">
        <x:v>77</x:v>
      </x:c>
      <x:c r="B80" s="29" t="n">
        <x:v>256</x:v>
      </x:c>
      <x:c r="C80" s="29" t="n">
        <x:v>252</x:v>
      </x:c>
      <x:c r="D80" s="29" t="n">
        <x:v>4</x:v>
      </x:c>
      <x:c r="E80" s="29" t="n">
        <x:v>0</x:v>
      </x:c>
      <x:c r="F80" s="29" t="n">
        <x:v>0</x:v>
      </x:c>
      <x:c r="G80" s="30" t="n">
        <x:f>C80/B80</x:f>
        <x:v>0.984375</x:v>
      </x:c>
      <x:c r="H80" s="30" t="n">
        <x:f>D80/B80</x:f>
        <x:v>0.015625</x:v>
      </x:c>
      <x:c r="I80" s="30" t="n">
        <x:f>E80/B80</x:f>
        <x:v>0</x:v>
      </x:c>
      <x:c r="J80" s="30" t="n">
        <x:f>F80/B80</x:f>
        <x:v>0</x:v>
      </x:c>
      <x:c r="K80" s="30" t="n">
        <x:f>G80</x:f>
        <x:v>0.984375</x:v>
      </x:c>
      <x:c r="L80" s="30" t="n">
        <x:f>0.5*(ABS(G80-1.0)+ABS(H80-0.0)+ABS(I80-0.0)+ABS(J80-0.0))</x:f>
        <x:v>0.015625</x:v>
      </x:c>
    </x:row>
    <x:row r="81">
      <x:c r="A81" s="29" t="n">
        <x:v>78</x:v>
      </x:c>
      <x:c r="B81" s="29" t="n">
        <x:v>256</x:v>
      </x:c>
      <x:c r="C81" s="29" t="n">
        <x:v>248</x:v>
      </x:c>
      <x:c r="D81" s="29" t="n">
        <x:v>6</x:v>
      </x:c>
      <x:c r="E81" s="29" t="n">
        <x:v>1</x:v>
      </x:c>
      <x:c r="F81" s="29" t="n">
        <x:v>1</x:v>
      </x:c>
      <x:c r="G81" s="30" t="n">
        <x:f>C81/B81</x:f>
        <x:v>0.96875</x:v>
      </x:c>
      <x:c r="H81" s="30" t="n">
        <x:f>D81/B81</x:f>
        <x:v>0.0234375</x:v>
      </x:c>
      <x:c r="I81" s="30" t="n">
        <x:f>E81/B81</x:f>
        <x:v>0.00390625</x:v>
      </x:c>
      <x:c r="J81" s="30" t="n">
        <x:f>F81/B81</x:f>
        <x:v>0.00390625</x:v>
      </x:c>
      <x:c r="K81" s="30" t="n">
        <x:f>G81</x:f>
        <x:v>0.96875</x:v>
      </x:c>
      <x:c r="L81" s="30" t="n">
        <x:f>0.5*(ABS(G81-1.0)+ABS(H81-0.0)+ABS(I81-0.0)+ABS(J81-0.0))</x:f>
        <x:v>0.03125</x:v>
      </x:c>
    </x:row>
    <x:row r="82">
      <x:c r="A82" s="29" t="n">
        <x:v>79</x:v>
      </x:c>
      <x:c r="B82" s="29" t="n">
        <x:v>256</x:v>
      </x:c>
      <x:c r="C82" s="29" t="n">
        <x:v>250</x:v>
      </x:c>
      <x:c r="D82" s="29" t="n">
        <x:v>5</x:v>
      </x:c>
      <x:c r="E82" s="29" t="n">
        <x:v>1</x:v>
      </x:c>
      <x:c r="F82" s="29" t="n">
        <x:v>0</x:v>
      </x:c>
      <x:c r="G82" s="30" t="n">
        <x:f>C82/B82</x:f>
        <x:v>0.9765625</x:v>
      </x:c>
      <x:c r="H82" s="30" t="n">
        <x:f>D82/B82</x:f>
        <x:v>0.01953125</x:v>
      </x:c>
      <x:c r="I82" s="30" t="n">
        <x:f>E82/B82</x:f>
        <x:v>0.00390625</x:v>
      </x:c>
      <x:c r="J82" s="30" t="n">
        <x:f>F82/B82</x:f>
        <x:v>0</x:v>
      </x:c>
      <x:c r="K82" s="30" t="n">
        <x:f>G82</x:f>
        <x:v>0.9765625</x:v>
      </x:c>
      <x:c r="L82" s="30" t="n">
        <x:f>0.5*(ABS(G82-1.0)+ABS(H82-0.0)+ABS(I82-0.0)+ABS(J82-0.0))</x:f>
        <x:v>0.0234375</x:v>
      </x:c>
    </x:row>
    <x:row r="83">
      <x:c r="A83" s="29" t="n">
        <x:v>80</x:v>
      </x:c>
      <x:c r="B83" s="29" t="n">
        <x:v>256</x:v>
      </x:c>
      <x:c r="C83" s="29" t="n">
        <x:v>246</x:v>
      </x:c>
      <x:c r="D83" s="29" t="n">
        <x:v>10</x:v>
      </x:c>
      <x:c r="E83" s="29" t="n">
        <x:v>0</x:v>
      </x:c>
      <x:c r="F83" s="29" t="n">
        <x:v>0</x:v>
      </x:c>
      <x:c r="G83" s="30" t="n">
        <x:f>C83/B83</x:f>
        <x:v>0.9609375</x:v>
      </x:c>
      <x:c r="H83" s="30" t="n">
        <x:f>D83/B83</x:f>
        <x:v>0.0390625</x:v>
      </x:c>
      <x:c r="I83" s="30" t="n">
        <x:f>E83/B83</x:f>
        <x:v>0</x:v>
      </x:c>
      <x:c r="J83" s="30" t="n">
        <x:f>F83/B83</x:f>
        <x:v>0</x:v>
      </x:c>
      <x:c r="K83" s="30" t="n">
        <x:f>G83</x:f>
        <x:v>0.9609375</x:v>
      </x:c>
      <x:c r="L83" s="30" t="n">
        <x:f>0.5*(ABS(G83-1.0)+ABS(H83-0.0)+ABS(I83-0.0)+ABS(J83-0.0))</x:f>
        <x:v>0.0390625</x:v>
      </x:c>
    </x:row>
    <x:row r="84">
      <x:c r="A84" s="29" t="n">
        <x:v>81</x:v>
      </x:c>
      <x:c r="B84" s="29" t="n">
        <x:v>256</x:v>
      </x:c>
      <x:c r="C84" s="29" t="n">
        <x:v>249</x:v>
      </x:c>
      <x:c r="D84" s="29" t="n">
        <x:v>5</x:v>
      </x:c>
      <x:c r="E84" s="29" t="n">
        <x:v>1</x:v>
      </x:c>
      <x:c r="F84" s="29" t="n">
        <x:v>1</x:v>
      </x:c>
      <x:c r="G84" s="30" t="n">
        <x:f>C84/B84</x:f>
        <x:v>0.97265625</x:v>
      </x:c>
      <x:c r="H84" s="30" t="n">
        <x:f>D84/B84</x:f>
        <x:v>0.01953125</x:v>
      </x:c>
      <x:c r="I84" s="30" t="n">
        <x:f>E84/B84</x:f>
        <x:v>0.00390625</x:v>
      </x:c>
      <x:c r="J84" s="30" t="n">
        <x:f>F84/B84</x:f>
        <x:v>0.00390625</x:v>
      </x:c>
      <x:c r="K84" s="30" t="n">
        <x:f>G84</x:f>
        <x:v>0.97265625</x:v>
      </x:c>
      <x:c r="L84" s="30" t="n">
        <x:f>0.5*(ABS(G84-1.0)+ABS(H84-0.0)+ABS(I84-0.0)+ABS(J84-0.0))</x:f>
        <x:v>0.02734375</x:v>
      </x:c>
    </x:row>
    <x:row r="85">
      <x:c r="A85" s="29" t="n">
        <x:v>82</x:v>
      </x:c>
      <x:c r="B85" s="29" t="n">
        <x:v>256</x:v>
      </x:c>
      <x:c r="C85" s="29" t="n">
        <x:v>252</x:v>
      </x:c>
      <x:c r="D85" s="29" t="n">
        <x:v>4</x:v>
      </x:c>
      <x:c r="E85" s="29" t="n">
        <x:v>0</x:v>
      </x:c>
      <x:c r="F85" s="29" t="n">
        <x:v>0</x:v>
      </x:c>
      <x:c r="G85" s="30" t="n">
        <x:f>C85/B85</x:f>
        <x:v>0.984375</x:v>
      </x:c>
      <x:c r="H85" s="30" t="n">
        <x:f>D85/B85</x:f>
        <x:v>0.015625</x:v>
      </x:c>
      <x:c r="I85" s="30" t="n">
        <x:f>E85/B85</x:f>
        <x:v>0</x:v>
      </x:c>
      <x:c r="J85" s="30" t="n">
        <x:f>F85/B85</x:f>
        <x:v>0</x:v>
      </x:c>
      <x:c r="K85" s="30" t="n">
        <x:f>G85</x:f>
        <x:v>0.984375</x:v>
      </x:c>
      <x:c r="L85" s="30" t="n">
        <x:f>0.5*(ABS(G85-1.0)+ABS(H85-0.0)+ABS(I85-0.0)+ABS(J85-0.0))</x:f>
        <x:v>0.015625</x:v>
      </x:c>
    </x:row>
    <x:row r="86">
      <x:c r="A86" s="29" t="n">
        <x:v>83</x:v>
      </x:c>
      <x:c r="B86" s="29" t="n">
        <x:v>256</x:v>
      </x:c>
      <x:c r="C86" s="29" t="n">
        <x:v>247</x:v>
      </x:c>
      <x:c r="D86" s="29" t="n">
        <x:v>7</x:v>
      </x:c>
      <x:c r="E86" s="29" t="n">
        <x:v>2</x:v>
      </x:c>
      <x:c r="F86" s="29" t="n">
        <x:v>0</x:v>
      </x:c>
      <x:c r="G86" s="30" t="n">
        <x:f>C86/B86</x:f>
        <x:v>0.96484375</x:v>
      </x:c>
      <x:c r="H86" s="30" t="n">
        <x:f>D86/B86</x:f>
        <x:v>0.02734375</x:v>
      </x:c>
      <x:c r="I86" s="30" t="n">
        <x:f>E86/B86</x:f>
        <x:v>0.0078125</x:v>
      </x:c>
      <x:c r="J86" s="30" t="n">
        <x:f>F86/B86</x:f>
        <x:v>0</x:v>
      </x:c>
      <x:c r="K86" s="30" t="n">
        <x:f>G86</x:f>
        <x:v>0.96484375</x:v>
      </x:c>
      <x:c r="L86" s="30" t="n">
        <x:f>0.5*(ABS(G86-1.0)+ABS(H86-0.0)+ABS(I86-0.0)+ABS(J86-0.0))</x:f>
        <x:v>0.03515625</x:v>
      </x:c>
    </x:row>
    <x:row r="87">
      <x:c r="A87" s="29" t="n">
        <x:v>84</x:v>
      </x:c>
      <x:c r="B87" s="29" t="n">
        <x:v>256</x:v>
      </x:c>
      <x:c r="C87" s="29" t="n">
        <x:v>247</x:v>
      </x:c>
      <x:c r="D87" s="29" t="n">
        <x:v>6</x:v>
      </x:c>
      <x:c r="E87" s="29" t="n">
        <x:v>2</x:v>
      </x:c>
      <x:c r="F87" s="29" t="n">
        <x:v>1</x:v>
      </x:c>
      <x:c r="G87" s="30" t="n">
        <x:f>C87/B87</x:f>
        <x:v>0.96484375</x:v>
      </x:c>
      <x:c r="H87" s="30" t="n">
        <x:f>D87/B87</x:f>
        <x:v>0.0234375</x:v>
      </x:c>
      <x:c r="I87" s="30" t="n">
        <x:f>E87/B87</x:f>
        <x:v>0.0078125</x:v>
      </x:c>
      <x:c r="J87" s="30" t="n">
        <x:f>F87/B87</x:f>
        <x:v>0.00390625</x:v>
      </x:c>
      <x:c r="K87" s="30" t="n">
        <x:f>G87</x:f>
        <x:v>0.96484375</x:v>
      </x:c>
      <x:c r="L87" s="30" t="n">
        <x:f>0.5*(ABS(G87-1.0)+ABS(H87-0.0)+ABS(I87-0.0)+ABS(J87-0.0))</x:f>
        <x:v>0.03515625</x:v>
      </x:c>
    </x:row>
    <x:row r="88">
      <x:c r="A88" s="29" t="n">
        <x:v>85</x:v>
      </x:c>
      <x:c r="B88" s="29" t="n">
        <x:v>256</x:v>
      </x:c>
      <x:c r="C88" s="29" t="n">
        <x:v>247</x:v>
      </x:c>
      <x:c r="D88" s="29" t="n">
        <x:v>9</x:v>
      </x:c>
      <x:c r="E88" s="29" t="n">
        <x:v>0</x:v>
      </x:c>
      <x:c r="F88" s="29" t="n">
        <x:v>0</x:v>
      </x:c>
      <x:c r="G88" s="30" t="n">
        <x:f>C88/B88</x:f>
        <x:v>0.96484375</x:v>
      </x:c>
      <x:c r="H88" s="30" t="n">
        <x:f>D88/B88</x:f>
        <x:v>0.03515625</x:v>
      </x:c>
      <x:c r="I88" s="30" t="n">
        <x:f>E88/B88</x:f>
        <x:v>0</x:v>
      </x:c>
      <x:c r="J88" s="30" t="n">
        <x:f>F88/B88</x:f>
        <x:v>0</x:v>
      </x:c>
      <x:c r="K88" s="30" t="n">
        <x:f>G88</x:f>
        <x:v>0.96484375</x:v>
      </x:c>
      <x:c r="L88" s="30" t="n">
        <x:f>0.5*(ABS(G88-1.0)+ABS(H88-0.0)+ABS(I88-0.0)+ABS(J88-0.0))</x:f>
        <x:v>0.03515625</x:v>
      </x:c>
    </x:row>
    <x:row r="89">
      <x:c r="A89" s="29" t="n">
        <x:v>86</x:v>
      </x:c>
      <x:c r="B89" s="29" t="n">
        <x:v>256</x:v>
      </x:c>
      <x:c r="C89" s="29" t="n">
        <x:v>247</x:v>
      </x:c>
      <x:c r="D89" s="29" t="n">
        <x:v>5</x:v>
      </x:c>
      <x:c r="E89" s="29" t="n">
        <x:v>3</x:v>
      </x:c>
      <x:c r="F89" s="29" t="n">
        <x:v>1</x:v>
      </x:c>
      <x:c r="G89" s="30" t="n">
        <x:f>C89/B89</x:f>
        <x:v>0.96484375</x:v>
      </x:c>
      <x:c r="H89" s="30" t="n">
        <x:f>D89/B89</x:f>
        <x:v>0.01953125</x:v>
      </x:c>
      <x:c r="I89" s="30" t="n">
        <x:f>E89/B89</x:f>
        <x:v>0.01171875</x:v>
      </x:c>
      <x:c r="J89" s="30" t="n">
        <x:f>F89/B89</x:f>
        <x:v>0.00390625</x:v>
      </x:c>
      <x:c r="K89" s="30" t="n">
        <x:f>G89</x:f>
        <x:v>0.96484375</x:v>
      </x:c>
      <x:c r="L89" s="30" t="n">
        <x:f>0.5*(ABS(G89-1.0)+ABS(H89-0.0)+ABS(I89-0.0)+ABS(J89-0.0))</x:f>
        <x:v>0.03515625</x:v>
      </x:c>
    </x:row>
    <x:row r="90">
      <x:c r="A90" s="29" t="n">
        <x:v>87</x:v>
      </x:c>
      <x:c r="B90" s="29" t="n">
        <x:v>256</x:v>
      </x:c>
      <x:c r="C90" s="29" t="n">
        <x:v>246</x:v>
      </x:c>
      <x:c r="D90" s="29" t="n">
        <x:v>8</x:v>
      </x:c>
      <x:c r="E90" s="29" t="n">
        <x:v>1</x:v>
      </x:c>
      <x:c r="F90" s="29" t="n">
        <x:v>1</x:v>
      </x:c>
      <x:c r="G90" s="30" t="n">
        <x:f>C90/B90</x:f>
        <x:v>0.9609375</x:v>
      </x:c>
      <x:c r="H90" s="30" t="n">
        <x:f>D90/B90</x:f>
        <x:v>0.03125</x:v>
      </x:c>
      <x:c r="I90" s="30" t="n">
        <x:f>E90/B90</x:f>
        <x:v>0.00390625</x:v>
      </x:c>
      <x:c r="J90" s="30" t="n">
        <x:f>F90/B90</x:f>
        <x:v>0.00390625</x:v>
      </x:c>
      <x:c r="K90" s="30" t="n">
        <x:f>G90</x:f>
        <x:v>0.9609375</x:v>
      </x:c>
      <x:c r="L90" s="30" t="n">
        <x:f>0.5*(ABS(G90-1.0)+ABS(H90-0.0)+ABS(I90-0.0)+ABS(J90-0.0))</x:f>
        <x:v>0.0390625</x:v>
      </x:c>
    </x:row>
    <x:row r="91">
      <x:c r="A91" s="29" t="n">
        <x:v>88</x:v>
      </x:c>
      <x:c r="B91" s="29" t="n">
        <x:v>256</x:v>
      </x:c>
      <x:c r="C91" s="29" t="n">
        <x:v>250</x:v>
      </x:c>
      <x:c r="D91" s="29" t="n">
        <x:v>4</x:v>
      </x:c>
      <x:c r="E91" s="29" t="n">
        <x:v>2</x:v>
      </x:c>
      <x:c r="F91" s="29" t="n">
        <x:v>0</x:v>
      </x:c>
      <x:c r="G91" s="30" t="n">
        <x:f>C91/B91</x:f>
        <x:v>0.9765625</x:v>
      </x:c>
      <x:c r="H91" s="30" t="n">
        <x:f>D91/B91</x:f>
        <x:v>0.015625</x:v>
      </x:c>
      <x:c r="I91" s="30" t="n">
        <x:f>E91/B91</x:f>
        <x:v>0.0078125</x:v>
      </x:c>
      <x:c r="J91" s="30" t="n">
        <x:f>F91/B91</x:f>
        <x:v>0</x:v>
      </x:c>
      <x:c r="K91" s="30" t="n">
        <x:f>G91</x:f>
        <x:v>0.9765625</x:v>
      </x:c>
      <x:c r="L91" s="30" t="n">
        <x:f>0.5*(ABS(G91-1.0)+ABS(H91-0.0)+ABS(I91-0.0)+ABS(J91-0.0))</x:f>
        <x:v>0.0234375</x:v>
      </x:c>
    </x:row>
    <x:row r="92">
      <x:c r="A92" s="29" t="n">
        <x:v>89</x:v>
      </x:c>
      <x:c r="B92" s="29" t="n">
        <x:v>256</x:v>
      </x:c>
      <x:c r="C92" s="29" t="n">
        <x:v>249</x:v>
      </x:c>
      <x:c r="D92" s="29" t="n">
        <x:v>4</x:v>
      </x:c>
      <x:c r="E92" s="29" t="n">
        <x:v>2</x:v>
      </x:c>
      <x:c r="F92" s="29" t="n">
        <x:v>1</x:v>
      </x:c>
      <x:c r="G92" s="30" t="n">
        <x:f>C92/B92</x:f>
        <x:v>0.97265625</x:v>
      </x:c>
      <x:c r="H92" s="30" t="n">
        <x:f>D92/B92</x:f>
        <x:v>0.015625</x:v>
      </x:c>
      <x:c r="I92" s="30" t="n">
        <x:f>E92/B92</x:f>
        <x:v>0.0078125</x:v>
      </x:c>
      <x:c r="J92" s="30" t="n">
        <x:f>F92/B92</x:f>
        <x:v>0.00390625</x:v>
      </x:c>
      <x:c r="K92" s="30" t="n">
        <x:f>G92</x:f>
        <x:v>0.97265625</x:v>
      </x:c>
      <x:c r="L92" s="30" t="n">
        <x:f>0.5*(ABS(G92-1.0)+ABS(H92-0.0)+ABS(I92-0.0)+ABS(J92-0.0))</x:f>
        <x:v>0.02734375</x:v>
      </x:c>
    </x:row>
    <x:row r="93">
      <x:c r="A93" s="29" t="n">
        <x:v>90</x:v>
      </x:c>
      <x:c r="B93" s="29" t="n">
        <x:v>256</x:v>
      </x:c>
      <x:c r="C93" s="29" t="n">
        <x:v>250</x:v>
      </x:c>
      <x:c r="D93" s="29" t="n">
        <x:v>4</x:v>
      </x:c>
      <x:c r="E93" s="29" t="n">
        <x:v>1</x:v>
      </x:c>
      <x:c r="F93" s="29" t="n">
        <x:v>1</x:v>
      </x:c>
      <x:c r="G93" s="30" t="n">
        <x:f>C93/B93</x:f>
        <x:v>0.9765625</x:v>
      </x:c>
      <x:c r="H93" s="30" t="n">
        <x:f>D93/B93</x:f>
        <x:v>0.015625</x:v>
      </x:c>
      <x:c r="I93" s="30" t="n">
        <x:f>E93/B93</x:f>
        <x:v>0.00390625</x:v>
      </x:c>
      <x:c r="J93" s="30" t="n">
        <x:f>F93/B93</x:f>
        <x:v>0.00390625</x:v>
      </x:c>
      <x:c r="K93" s="30" t="n">
        <x:f>G93</x:f>
        <x:v>0.9765625</x:v>
      </x:c>
      <x:c r="L93" s="30" t="n">
        <x:f>0.5*(ABS(G93-1.0)+ABS(H93-0.0)+ABS(I93-0.0)+ABS(J93-0.0))</x:f>
        <x:v>0.0234375</x:v>
      </x:c>
    </x:row>
    <x:row r="94">
      <x:c r="A94" s="29" t="n">
        <x:v>91</x:v>
      </x:c>
      <x:c r="B94" s="29" t="n">
        <x:v>256</x:v>
      </x:c>
      <x:c r="C94" s="29" t="n">
        <x:v>252</x:v>
      </x:c>
      <x:c r="D94" s="29" t="n">
        <x:v>3</x:v>
      </x:c>
      <x:c r="E94" s="29" t="n">
        <x:v>0</x:v>
      </x:c>
      <x:c r="F94" s="29" t="n">
        <x:v>1</x:v>
      </x:c>
      <x:c r="G94" s="30" t="n">
        <x:f>C94/B94</x:f>
        <x:v>0.984375</x:v>
      </x:c>
      <x:c r="H94" s="30" t="n">
        <x:f>D94/B94</x:f>
        <x:v>0.01171875</x:v>
      </x:c>
      <x:c r="I94" s="30" t="n">
        <x:f>E94/B94</x:f>
        <x:v>0</x:v>
      </x:c>
      <x:c r="J94" s="30" t="n">
        <x:f>F94/B94</x:f>
        <x:v>0.00390625</x:v>
      </x:c>
      <x:c r="K94" s="30" t="n">
        <x:f>G94</x:f>
        <x:v>0.984375</x:v>
      </x:c>
      <x:c r="L94" s="30" t="n">
        <x:f>0.5*(ABS(G94-1.0)+ABS(H94-0.0)+ABS(I94-0.0)+ABS(J94-0.0))</x:f>
        <x:v>0.015625</x:v>
      </x:c>
    </x:row>
    <x:row r="95">
      <x:c r="A95" s="29" t="n">
        <x:v>92</x:v>
      </x:c>
      <x:c r="B95" s="29" t="n">
        <x:v>256</x:v>
      </x:c>
      <x:c r="C95" s="29" t="n">
        <x:v>250</x:v>
      </x:c>
      <x:c r="D95" s="29" t="n">
        <x:v>3</x:v>
      </x:c>
      <x:c r="E95" s="29" t="n">
        <x:v>0</x:v>
      </x:c>
      <x:c r="F95" s="29" t="n">
        <x:v>3</x:v>
      </x:c>
      <x:c r="G95" s="30" t="n">
        <x:f>C95/B95</x:f>
        <x:v>0.9765625</x:v>
      </x:c>
      <x:c r="H95" s="30" t="n">
        <x:f>D95/B95</x:f>
        <x:v>0.01171875</x:v>
      </x:c>
      <x:c r="I95" s="30" t="n">
        <x:f>E95/B95</x:f>
        <x:v>0</x:v>
      </x:c>
      <x:c r="J95" s="30" t="n">
        <x:f>F95/B95</x:f>
        <x:v>0.01171875</x:v>
      </x:c>
      <x:c r="K95" s="30" t="n">
        <x:f>G95</x:f>
        <x:v>0.9765625</x:v>
      </x:c>
      <x:c r="L95" s="30" t="n">
        <x:f>0.5*(ABS(G95-1.0)+ABS(H95-0.0)+ABS(I95-0.0)+ABS(J95-0.0))</x:f>
        <x:v>0.0234375</x:v>
      </x:c>
    </x:row>
    <x:row r="96">
      <x:c r="A96" s="29" t="n">
        <x:v>93</x:v>
      </x:c>
      <x:c r="B96" s="29" t="n">
        <x:v>256</x:v>
      </x:c>
      <x:c r="C96" s="29" t="n">
        <x:v>246</x:v>
      </x:c>
      <x:c r="D96" s="29" t="n">
        <x:v>8</x:v>
      </x:c>
      <x:c r="E96" s="29" t="n">
        <x:v>1</x:v>
      </x:c>
      <x:c r="F96" s="29" t="n">
        <x:v>1</x:v>
      </x:c>
      <x:c r="G96" s="30" t="n">
        <x:f>C96/B96</x:f>
        <x:v>0.9609375</x:v>
      </x:c>
      <x:c r="H96" s="30" t="n">
        <x:f>D96/B96</x:f>
        <x:v>0.03125</x:v>
      </x:c>
      <x:c r="I96" s="30" t="n">
        <x:f>E96/B96</x:f>
        <x:v>0.00390625</x:v>
      </x:c>
      <x:c r="J96" s="30" t="n">
        <x:f>F96/B96</x:f>
        <x:v>0.00390625</x:v>
      </x:c>
      <x:c r="K96" s="30" t="n">
        <x:f>G96</x:f>
        <x:v>0.9609375</x:v>
      </x:c>
      <x:c r="L96" s="30" t="n">
        <x:f>0.5*(ABS(G96-1.0)+ABS(H96-0.0)+ABS(I96-0.0)+ABS(J96-0.0))</x:f>
        <x:v>0.0390625</x:v>
      </x:c>
    </x:row>
    <x:row r="97">
      <x:c r="A97" s="29" t="n">
        <x:v>94</x:v>
      </x:c>
      <x:c r="B97" s="29" t="n">
        <x:v>256</x:v>
      </x:c>
      <x:c r="C97" s="29" t="n">
        <x:v>251</x:v>
      </x:c>
      <x:c r="D97" s="29" t="n">
        <x:v>2</x:v>
      </x:c>
      <x:c r="E97" s="29" t="n">
        <x:v>3</x:v>
      </x:c>
      <x:c r="F97" s="29" t="n">
        <x:v>0</x:v>
      </x:c>
      <x:c r="G97" s="30" t="n">
        <x:f>C97/B97</x:f>
        <x:v>0.98046875</x:v>
      </x:c>
      <x:c r="H97" s="30" t="n">
        <x:f>D97/B97</x:f>
        <x:v>0.0078125</x:v>
      </x:c>
      <x:c r="I97" s="30" t="n">
        <x:f>E97/B97</x:f>
        <x:v>0.01171875</x:v>
      </x:c>
      <x:c r="J97" s="30" t="n">
        <x:f>F97/B97</x:f>
        <x:v>0</x:v>
      </x:c>
      <x:c r="K97" s="30" t="n">
        <x:f>G97</x:f>
        <x:v>0.98046875</x:v>
      </x:c>
      <x:c r="L97" s="30" t="n">
        <x:f>0.5*(ABS(G97-1.0)+ABS(H97-0.0)+ABS(I97-0.0)+ABS(J97-0.0))</x:f>
        <x:v>0.01953125</x:v>
      </x:c>
    </x:row>
    <x:row r="98">
      <x:c r="A98" s="29" t="n">
        <x:v>95</x:v>
      </x:c>
      <x:c r="B98" s="29" t="n">
        <x:v>256</x:v>
      </x:c>
      <x:c r="C98" s="29" t="n">
        <x:v>249</x:v>
      </x:c>
      <x:c r="D98" s="29" t="n">
        <x:v>6</x:v>
      </x:c>
      <x:c r="E98" s="29" t="n">
        <x:v>1</x:v>
      </x:c>
      <x:c r="F98" s="29" t="n">
        <x:v>0</x:v>
      </x:c>
      <x:c r="G98" s="30" t="n">
        <x:f>C98/B98</x:f>
        <x:v>0.97265625</x:v>
      </x:c>
      <x:c r="H98" s="30" t="n">
        <x:f>D98/B98</x:f>
        <x:v>0.0234375</x:v>
      </x:c>
      <x:c r="I98" s="30" t="n">
        <x:f>E98/B98</x:f>
        <x:v>0.00390625</x:v>
      </x:c>
      <x:c r="J98" s="30" t="n">
        <x:f>F98/B98</x:f>
        <x:v>0</x:v>
      </x:c>
      <x:c r="K98" s="30" t="n">
        <x:f>G98</x:f>
        <x:v>0.97265625</x:v>
      </x:c>
      <x:c r="L98" s="30" t="n">
        <x:f>0.5*(ABS(G98-1.0)+ABS(H98-0.0)+ABS(I98-0.0)+ABS(J98-0.0))</x:f>
        <x:v>0.02734375</x:v>
      </x:c>
    </x:row>
    <x:row r="99">
      <x:c r="A99" s="29" t="n">
        <x:v>96</x:v>
      </x:c>
      <x:c r="B99" s="29" t="n">
        <x:v>256</x:v>
      </x:c>
      <x:c r="C99" s="29" t="n">
        <x:v>251</x:v>
      </x:c>
      <x:c r="D99" s="29" t="n">
        <x:v>4</x:v>
      </x:c>
      <x:c r="E99" s="29" t="n">
        <x:v>0</x:v>
      </x:c>
      <x:c r="F99" s="29" t="n">
        <x:v>1</x:v>
      </x:c>
      <x:c r="G99" s="30" t="n">
        <x:f>C99/B99</x:f>
        <x:v>0.98046875</x:v>
      </x:c>
      <x:c r="H99" s="30" t="n">
        <x:f>D99/B99</x:f>
        <x:v>0.015625</x:v>
      </x:c>
      <x:c r="I99" s="30" t="n">
        <x:f>E99/B99</x:f>
        <x:v>0</x:v>
      </x:c>
      <x:c r="J99" s="30" t="n">
        <x:f>F99/B99</x:f>
        <x:v>0.00390625</x:v>
      </x:c>
      <x:c r="K99" s="30" t="n">
        <x:f>G99</x:f>
        <x:v>0.98046875</x:v>
      </x:c>
      <x:c r="L99" s="30" t="n">
        <x:f>0.5*(ABS(G99-1.0)+ABS(H99-0.0)+ABS(I99-0.0)+ABS(J99-0.0))</x:f>
        <x:v>0.01953125</x:v>
      </x:c>
    </x:row>
    <x:row r="100">
      <x:c r="A100" s="29" t="n">
        <x:v>97</x:v>
      </x:c>
      <x:c r="B100" s="29" t="n">
        <x:v>256</x:v>
      </x:c>
      <x:c r="C100" s="29" t="n">
        <x:v>247</x:v>
      </x:c>
      <x:c r="D100" s="29" t="n">
        <x:v>8</x:v>
      </x:c>
      <x:c r="E100" s="29" t="n">
        <x:v>1</x:v>
      </x:c>
      <x:c r="F100" s="29" t="n">
        <x:v>0</x:v>
      </x:c>
      <x:c r="G100" s="30" t="n">
        <x:f>C100/B100</x:f>
        <x:v>0.96484375</x:v>
      </x:c>
      <x:c r="H100" s="30" t="n">
        <x:f>D100/B100</x:f>
        <x:v>0.03125</x:v>
      </x:c>
      <x:c r="I100" s="30" t="n">
        <x:f>E100/B100</x:f>
        <x:v>0.00390625</x:v>
      </x:c>
      <x:c r="J100" s="30" t="n">
        <x:f>F100/B100</x:f>
        <x:v>0</x:v>
      </x:c>
      <x:c r="K100" s="30" t="n">
        <x:f>G100</x:f>
        <x:v>0.96484375</x:v>
      </x:c>
      <x:c r="L100" s="30" t="n">
        <x:f>0.5*(ABS(G100-1.0)+ABS(H100-0.0)+ABS(I100-0.0)+ABS(J100-0.0))</x:f>
        <x:v>0.03515625</x:v>
      </x:c>
    </x:row>
    <x:row r="101">
      <x:c r="A101" s="29" t="n">
        <x:v>98</x:v>
      </x:c>
      <x:c r="B101" s="29" t="n">
        <x:v>256</x:v>
      </x:c>
      <x:c r="C101" s="29" t="n">
        <x:v>250</x:v>
      </x:c>
      <x:c r="D101" s="29" t="n">
        <x:v>5</x:v>
      </x:c>
      <x:c r="E101" s="29" t="n">
        <x:v>1</x:v>
      </x:c>
      <x:c r="F101" s="29" t="n">
        <x:v>0</x:v>
      </x:c>
      <x:c r="G101" s="30" t="n">
        <x:f>C101/B101</x:f>
        <x:v>0.9765625</x:v>
      </x:c>
      <x:c r="H101" s="30" t="n">
        <x:f>D101/B101</x:f>
        <x:v>0.01953125</x:v>
      </x:c>
      <x:c r="I101" s="30" t="n">
        <x:f>E101/B101</x:f>
        <x:v>0.00390625</x:v>
      </x:c>
      <x:c r="J101" s="30" t="n">
        <x:f>F101/B101</x:f>
        <x:v>0</x:v>
      </x:c>
      <x:c r="K101" s="30" t="n">
        <x:f>G101</x:f>
        <x:v>0.9765625</x:v>
      </x:c>
      <x:c r="L101" s="30" t="n">
        <x:f>0.5*(ABS(G101-1.0)+ABS(H101-0.0)+ABS(I101-0.0)+ABS(J101-0.0))</x:f>
        <x:v>0.0234375</x:v>
      </x:c>
    </x:row>
    <x:row r="102">
      <x:c r="A102" s="29" t="n">
        <x:v>99</x:v>
      </x:c>
      <x:c r="B102" s="29" t="n">
        <x:v>256</x:v>
      </x:c>
      <x:c r="C102" s="29" t="n">
        <x:v>247</x:v>
      </x:c>
      <x:c r="D102" s="29" t="n">
        <x:v>8</x:v>
      </x:c>
      <x:c r="E102" s="29" t="n">
        <x:v>1</x:v>
      </x:c>
      <x:c r="F102" s="29" t="n">
        <x:v>0</x:v>
      </x:c>
      <x:c r="G102" s="30" t="n">
        <x:f>C102/B102</x:f>
        <x:v>0.96484375</x:v>
      </x:c>
      <x:c r="H102" s="30" t="n">
        <x:f>D102/B102</x:f>
        <x:v>0.03125</x:v>
      </x:c>
      <x:c r="I102" s="30" t="n">
        <x:f>E102/B102</x:f>
        <x:v>0.00390625</x:v>
      </x:c>
      <x:c r="J102" s="30" t="n">
        <x:f>F102/B102</x:f>
        <x:v>0</x:v>
      </x:c>
      <x:c r="K102" s="30" t="n">
        <x:f>G102</x:f>
        <x:v>0.96484375</x:v>
      </x:c>
      <x:c r="L102" s="30" t="n">
        <x:f>0.5*(ABS(G102-1.0)+ABS(H102-0.0)+ABS(I102-0.0)+ABS(J102-0.0))</x:f>
        <x:v>0.03515625</x:v>
      </x:c>
    </x:row>
    <x:row r="103">
      <x:c r="A103" s="29" t="n">
        <x:v>100</x:v>
      </x:c>
      <x:c r="B103" s="29" t="n">
        <x:v>256</x:v>
      </x:c>
      <x:c r="C103" s="29" t="n">
        <x:v>247</x:v>
      </x:c>
      <x:c r="D103" s="29" t="n">
        <x:v>7</x:v>
      </x:c>
      <x:c r="E103" s="29" t="n">
        <x:v>1</x:v>
      </x:c>
      <x:c r="F103" s="29" t="n">
        <x:v>1</x:v>
      </x:c>
      <x:c r="G103" s="30" t="n">
        <x:f>C103/B103</x:f>
        <x:v>0.96484375</x:v>
      </x:c>
      <x:c r="H103" s="30" t="n">
        <x:f>D103/B103</x:f>
        <x:v>0.02734375</x:v>
      </x:c>
      <x:c r="I103" s="30" t="n">
        <x:f>E103/B103</x:f>
        <x:v>0.00390625</x:v>
      </x:c>
      <x:c r="J103" s="30" t="n">
        <x:f>F103/B103</x:f>
        <x:v>0.00390625</x:v>
      </x:c>
      <x:c r="K103" s="30" t="n">
        <x:f>G103</x:f>
        <x:v>0.96484375</x:v>
      </x:c>
      <x:c r="L103" s="30" t="n">
        <x:f>0.5*(ABS(G103-1.0)+ABS(H103-0.0)+ABS(I103-0.0)+ABS(J103-0.0))</x:f>
        <x:v>0.03515625</x:v>
      </x:c>
    </x:row>
  </x:sheetData>
  <x:mergeCells>
    <x:mergeCell ref="A1:L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2.8800010681152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Reconstructed mixed-strategy output distributions</x:v>
      </x:c>
      <x:c r="B1" s="5"/>
      <x:c r="C1" s="5"/>
      <x:c r="D1" s="5"/>
      <x:c r="E1" s="5"/>
      <x:c r="F1" s="5"/>
    </x:row>
    <x:row r="3">
      <x:c r="A3" s="15" t="str">
        <x:v>run</x:v>
      </x:c>
      <x:c r="B3" s="15" t="str">
        <x:v>p00</x:v>
      </x:c>
      <x:c r="C3" s="15" t="str">
        <x:v>p01</x:v>
      </x:c>
      <x:c r="D3" s="15" t="str">
        <x:v>p10</x:v>
      </x:c>
      <x:c r="E3" s="15" t="str">
        <x:v>p11</x:v>
      </x:c>
      <x:c r="F3" s="15" t="str">
        <x:v>TVD to (0.5,0,0,0.5)</x:v>
      </x:c>
    </x:row>
    <x:row r="4">
      <x:c r="A4" t="n">
        <x:v>1</x:v>
      </x:c>
      <x:c r="B4" s="26" t="n">
        <x:f>AVERAGE(Raw_II!G4,Raw_IiZ!G4,Raw_iZI!G4,Raw_iZiZ!G4)</x:f>
        <x:v>0.49609375</x:v>
      </x:c>
      <x:c r="C4" s="26" t="n">
        <x:f>AVERAGE(Raw_II!H4,Raw_IiZ!H4,Raw_iZI!H4,Raw_iZiZ!H4)</x:f>
        <x:v>0.0185546875</x:v>
      </x:c>
      <x:c r="D4" s="26" t="n">
        <x:f>AVERAGE(Raw_II!I4,Raw_IiZ!I4,Raw_iZI!I4,Raw_iZiZ!I4)</x:f>
        <x:v>0.0048828125</x:v>
      </x:c>
      <x:c r="E4" s="26" t="n">
        <x:f>AVERAGE(Raw_II!J4,Raw_IiZ!J4,Raw_iZI!J4,Raw_iZiZ!J4)</x:f>
        <x:v>0.48046875</x:v>
      </x:c>
      <x:c r="F4" s="26" t="n">
        <x:f>0.5*(ABS(B4-0.5)+ABS(C4)+ABS(D4)+ABS(E4-0.5))</x:f>
        <x:v>0.0234375</x:v>
      </x:c>
    </x:row>
    <x:row r="5">
      <x:c r="A5" t="n">
        <x:v>2</x:v>
      </x:c>
      <x:c r="B5" s="26" t="n">
        <x:f>AVERAGE(Raw_II!G5,Raw_IiZ!G5,Raw_iZI!G5,Raw_iZiZ!G5)</x:f>
        <x:v>0.4921875</x:v>
      </x:c>
      <x:c r="C5" s="26" t="n">
        <x:f>AVERAGE(Raw_II!H5,Raw_IiZ!H5,Raw_iZI!H5,Raw_iZiZ!H5)</x:f>
        <x:v>0.0107421875</x:v>
      </x:c>
      <x:c r="D5" s="26" t="n">
        <x:f>AVERAGE(Raw_II!I5,Raw_IiZ!I5,Raw_iZI!I5,Raw_iZiZ!I5)</x:f>
        <x:v>0.01171875</x:v>
      </x:c>
      <x:c r="E5" s="26" t="n">
        <x:f>AVERAGE(Raw_II!J5,Raw_IiZ!J5,Raw_iZI!J5,Raw_iZiZ!J5)</x:f>
        <x:v>0.4853515625</x:v>
      </x:c>
      <x:c r="F5" s="26" t="n">
        <x:f>0.5*(ABS(B5-0.5)+ABS(C5)+ABS(D5)+ABS(E5-0.5))</x:f>
        <x:v>0.0224609375</x:v>
      </x:c>
    </x:row>
    <x:row r="6">
      <x:c r="A6" t="n">
        <x:v>3</x:v>
      </x:c>
      <x:c r="B6" s="26" t="n">
        <x:f>AVERAGE(Raw_II!G6,Raw_IiZ!G6,Raw_iZI!G6,Raw_iZiZ!G6)</x:f>
        <x:v>0.4921875</x:v>
      </x:c>
      <x:c r="C6" s="26" t="n">
        <x:f>AVERAGE(Raw_II!H6,Raw_IiZ!H6,Raw_iZI!H6,Raw_iZiZ!H6)</x:f>
        <x:v>0.0126953125</x:v>
      </x:c>
      <x:c r="D6" s="26" t="n">
        <x:f>AVERAGE(Raw_II!I6,Raw_IiZ!I6,Raw_iZI!I6,Raw_iZiZ!I6)</x:f>
        <x:v>0.0068359375</x:v>
      </x:c>
      <x:c r="E6" s="26" t="n">
        <x:f>AVERAGE(Raw_II!J6,Raw_IiZ!J6,Raw_iZI!J6,Raw_iZiZ!J6)</x:f>
        <x:v>0.48828125</x:v>
      </x:c>
      <x:c r="F6" s="26" t="n">
        <x:f>0.5*(ABS(B6-0.5)+ABS(C6)+ABS(D6)+ABS(E6-0.5))</x:f>
        <x:v>0.01953125</x:v>
      </x:c>
    </x:row>
    <x:row r="7">
      <x:c r="A7" t="n">
        <x:v>4</x:v>
      </x:c>
      <x:c r="B7" s="26" t="n">
        <x:f>AVERAGE(Raw_II!G7,Raw_IiZ!G7,Raw_iZI!G7,Raw_iZiZ!G7)</x:f>
        <x:v>0.498046875</x:v>
      </x:c>
      <x:c r="C7" s="26" t="n">
        <x:f>AVERAGE(Raw_II!H7,Raw_IiZ!H7,Raw_iZI!H7,Raw_iZiZ!H7)</x:f>
        <x:v>0.01171875</x:v>
      </x:c>
      <x:c r="D7" s="26" t="n">
        <x:f>AVERAGE(Raw_II!I7,Raw_IiZ!I7,Raw_iZI!I7,Raw_iZiZ!I7)</x:f>
        <x:v>0.0087890625</x:v>
      </x:c>
      <x:c r="E7" s="26" t="n">
        <x:f>AVERAGE(Raw_II!J7,Raw_IiZ!J7,Raw_iZI!J7,Raw_iZiZ!J7)</x:f>
        <x:v>0.4814453125</x:v>
      </x:c>
      <x:c r="F7" s="26" t="n">
        <x:f>0.5*(ABS(B7-0.5)+ABS(C7)+ABS(D7)+ABS(E7-0.5))</x:f>
        <x:v>0.0205078125</x:v>
      </x:c>
    </x:row>
    <x:row r="8">
      <x:c r="A8" t="n">
        <x:v>5</x:v>
      </x:c>
      <x:c r="B8" s="26" t="n">
        <x:f>AVERAGE(Raw_II!G8,Raw_IiZ!G8,Raw_iZI!G8,Raw_iZiZ!G8)</x:f>
        <x:v>0.4873046875</x:v>
      </x:c>
      <x:c r="C8" s="26" t="n">
        <x:f>AVERAGE(Raw_II!H8,Raw_IiZ!H8,Raw_iZI!H8,Raw_iZiZ!H8)</x:f>
        <x:v>0.0126953125</x:v>
      </x:c>
      <x:c r="D8" s="26" t="n">
        <x:f>AVERAGE(Raw_II!I8,Raw_IiZ!I8,Raw_iZI!I8,Raw_iZiZ!I8)</x:f>
        <x:v>0.009765625</x:v>
      </x:c>
      <x:c r="E8" s="26" t="n">
        <x:f>AVERAGE(Raw_II!J8,Raw_IiZ!J8,Raw_iZI!J8,Raw_iZiZ!J8)</x:f>
        <x:v>0.490234375</x:v>
      </x:c>
      <x:c r="F8" s="26" t="n">
        <x:f>0.5*(ABS(B8-0.5)+ABS(C8)+ABS(D8)+ABS(E8-0.5))</x:f>
        <x:v>0.0224609375</x:v>
      </x:c>
    </x:row>
    <x:row r="9">
      <x:c r="A9" t="n">
        <x:v>6</x:v>
      </x:c>
      <x:c r="B9" s="26" t="n">
        <x:f>AVERAGE(Raw_II!G9,Raw_IiZ!G9,Raw_iZI!G9,Raw_iZiZ!G9)</x:f>
        <x:v>0.494140625</x:v>
      </x:c>
      <x:c r="C9" s="26" t="n">
        <x:f>AVERAGE(Raw_II!H9,Raw_IiZ!H9,Raw_iZI!H9,Raw_iZiZ!H9)</x:f>
        <x:v>0.0087890625</x:v>
      </x:c>
      <x:c r="D9" s="26" t="n">
        <x:f>AVERAGE(Raw_II!I9,Raw_IiZ!I9,Raw_iZI!I9,Raw_iZiZ!I9)</x:f>
        <x:v>0.01171875</x:v>
      </x:c>
      <x:c r="E9" s="26" t="n">
        <x:f>AVERAGE(Raw_II!J9,Raw_IiZ!J9,Raw_iZI!J9,Raw_iZiZ!J9)</x:f>
        <x:v>0.4853515625</x:v>
      </x:c>
      <x:c r="F9" s="26" t="n">
        <x:f>0.5*(ABS(B9-0.5)+ABS(C9)+ABS(D9)+ABS(E9-0.5))</x:f>
        <x:v>0.0205078125</x:v>
      </x:c>
    </x:row>
    <x:row r="10">
      <x:c r="A10" t="n">
        <x:v>7</x:v>
      </x:c>
      <x:c r="B10" s="26" t="n">
        <x:f>AVERAGE(Raw_II!G10,Raw_IiZ!G10,Raw_iZI!G10,Raw_iZiZ!G10)</x:f>
        <x:v>0.498046875</x:v>
      </x:c>
      <x:c r="C10" s="26" t="n">
        <x:f>AVERAGE(Raw_II!H10,Raw_IiZ!H10,Raw_iZI!H10,Raw_iZiZ!H10)</x:f>
        <x:v>0.01171875</x:v>
      </x:c>
      <x:c r="D10" s="26" t="n">
        <x:f>AVERAGE(Raw_II!I10,Raw_IiZ!I10,Raw_iZI!I10,Raw_iZiZ!I10)</x:f>
        <x:v>0.005859375</x:v>
      </x:c>
      <x:c r="E10" s="26" t="n">
        <x:f>AVERAGE(Raw_II!J10,Raw_IiZ!J10,Raw_iZI!J10,Raw_iZiZ!J10)</x:f>
        <x:v>0.484375</x:v>
      </x:c>
      <x:c r="F10" s="26" t="n">
        <x:f>0.5*(ABS(B10-0.5)+ABS(C10)+ABS(D10)+ABS(E10-0.5))</x:f>
        <x:v>0.017578125</x:v>
      </x:c>
    </x:row>
    <x:row r="11">
      <x:c r="A11" t="n">
        <x:v>8</x:v>
      </x:c>
      <x:c r="B11" s="26" t="n">
        <x:f>AVERAGE(Raw_II!G11,Raw_IiZ!G11,Raw_iZI!G11,Raw_iZiZ!G11)</x:f>
        <x:v>0.494140625</x:v>
      </x:c>
      <x:c r="C11" s="26" t="n">
        <x:f>AVERAGE(Raw_II!H11,Raw_IiZ!H11,Raw_iZI!H11,Raw_iZiZ!H11)</x:f>
        <x:v>0.017578125</x:v>
      </x:c>
      <x:c r="D11" s="26" t="n">
        <x:f>AVERAGE(Raw_II!I11,Raw_IiZ!I11,Raw_iZI!I11,Raw_iZiZ!I11)</x:f>
        <x:v>0.009765625</x:v>
      </x:c>
      <x:c r="E11" s="26" t="n">
        <x:f>AVERAGE(Raw_II!J11,Raw_IiZ!J11,Raw_iZI!J11,Raw_iZiZ!J11)</x:f>
        <x:v>0.478515625</x:v>
      </x:c>
      <x:c r="F11" s="26" t="n">
        <x:f>0.5*(ABS(B11-0.5)+ABS(C11)+ABS(D11)+ABS(E11-0.5))</x:f>
        <x:v>0.02734375</x:v>
      </x:c>
    </x:row>
    <x:row r="12">
      <x:c r="A12" t="n">
        <x:v>9</x:v>
      </x:c>
      <x:c r="B12" s="26" t="n">
        <x:f>AVERAGE(Raw_II!G12,Raw_IiZ!G12,Raw_iZI!G12,Raw_iZiZ!G12)</x:f>
        <x:v>0.5009765625</x:v>
      </x:c>
      <x:c r="C12" s="26" t="n">
        <x:f>AVERAGE(Raw_II!H12,Raw_IiZ!H12,Raw_iZI!H12,Raw_iZiZ!H12)</x:f>
        <x:v>0.0087890625</x:v>
      </x:c>
      <x:c r="D12" s="26" t="n">
        <x:f>AVERAGE(Raw_II!I12,Raw_IiZ!I12,Raw_iZI!I12,Raw_iZiZ!I12)</x:f>
        <x:v>0.0078125</x:v>
      </x:c>
      <x:c r="E12" s="26" t="n">
        <x:f>AVERAGE(Raw_II!J12,Raw_IiZ!J12,Raw_iZI!J12,Raw_iZiZ!J12)</x:f>
        <x:v>0.482421875</x:v>
      </x:c>
      <x:c r="F12" s="26" t="n">
        <x:f>0.5*(ABS(B12-0.5)+ABS(C12)+ABS(D12)+ABS(E12-0.5))</x:f>
        <x:v>0.017578125</x:v>
      </x:c>
    </x:row>
    <x:row r="13">
      <x:c r="A13" t="n">
        <x:v>10</x:v>
      </x:c>
      <x:c r="B13" s="26" t="n">
        <x:f>AVERAGE(Raw_II!G13,Raw_IiZ!G13,Raw_iZI!G13,Raw_iZiZ!G13)</x:f>
        <x:v>0.4892578125</x:v>
      </x:c>
      <x:c r="C13" s="26" t="n">
        <x:f>AVERAGE(Raw_II!H13,Raw_IiZ!H13,Raw_iZI!H13,Raw_iZiZ!H13)</x:f>
        <x:v>0.0185546875</x:v>
      </x:c>
      <x:c r="D13" s="26" t="n">
        <x:f>AVERAGE(Raw_II!I13,Raw_IiZ!I13,Raw_iZI!I13,Raw_iZiZ!I13)</x:f>
        <x:v>0.013671875</x:v>
      </x:c>
      <x:c r="E13" s="26" t="n">
        <x:f>AVERAGE(Raw_II!J13,Raw_IiZ!J13,Raw_iZI!J13,Raw_iZiZ!J13)</x:f>
        <x:v>0.478515625</x:v>
      </x:c>
      <x:c r="F13" s="26" t="n">
        <x:f>0.5*(ABS(B13-0.5)+ABS(C13)+ABS(D13)+ABS(E13-0.5))</x:f>
        <x:v>0.0322265625</x:v>
      </x:c>
    </x:row>
    <x:row r="14">
      <x:c r="A14" t="n">
        <x:v>11</x:v>
      </x:c>
      <x:c r="B14" s="26" t="n">
        <x:f>AVERAGE(Raw_II!G14,Raw_IiZ!G14,Raw_iZI!G14,Raw_iZiZ!G14)</x:f>
        <x:v>0.501953125</x:v>
      </x:c>
      <x:c r="C14" s="26" t="n">
        <x:f>AVERAGE(Raw_II!H14,Raw_IiZ!H14,Raw_iZI!H14,Raw_iZiZ!H14)</x:f>
        <x:v>0.0126953125</x:v>
      </x:c>
      <x:c r="D14" s="26" t="n">
        <x:f>AVERAGE(Raw_II!I14,Raw_IiZ!I14,Raw_iZI!I14,Raw_iZiZ!I14)</x:f>
        <x:v>0.005859375</x:v>
      </x:c>
      <x:c r="E14" s="26" t="n">
        <x:f>AVERAGE(Raw_II!J14,Raw_IiZ!J14,Raw_iZI!J14,Raw_iZiZ!J14)</x:f>
        <x:v>0.4794921875</x:v>
      </x:c>
      <x:c r="F14" s="26" t="n">
        <x:f>0.5*(ABS(B14-0.5)+ABS(C14)+ABS(D14)+ABS(E14-0.5))</x:f>
        <x:v>0.0205078125</x:v>
      </x:c>
    </x:row>
    <x:row r="15">
      <x:c r="A15" t="n">
        <x:v>12</x:v>
      </x:c>
      <x:c r="B15" s="26" t="n">
        <x:f>AVERAGE(Raw_II!G15,Raw_IiZ!G15,Raw_iZI!G15,Raw_iZiZ!G15)</x:f>
        <x:v>0.498046875</x:v>
      </x:c>
      <x:c r="C15" s="26" t="n">
        <x:f>AVERAGE(Raw_II!H15,Raw_IiZ!H15,Raw_iZI!H15,Raw_iZiZ!H15)</x:f>
        <x:v>0.009765625</x:v>
      </x:c>
      <x:c r="D15" s="26" t="n">
        <x:f>AVERAGE(Raw_II!I15,Raw_IiZ!I15,Raw_iZI!I15,Raw_iZiZ!I15)</x:f>
        <x:v>0.0087890625</x:v>
      </x:c>
      <x:c r="E15" s="26" t="n">
        <x:f>AVERAGE(Raw_II!J15,Raw_IiZ!J15,Raw_iZI!J15,Raw_iZiZ!J15)</x:f>
        <x:v>0.4833984375</x:v>
      </x:c>
      <x:c r="F15" s="26" t="n">
        <x:f>0.5*(ABS(B15-0.5)+ABS(C15)+ABS(D15)+ABS(E15-0.5))</x:f>
        <x:v>0.0185546875</x:v>
      </x:c>
    </x:row>
    <x:row r="16">
      <x:c r="A16" t="n">
        <x:v>13</x:v>
      </x:c>
      <x:c r="B16" s="26" t="n">
        <x:f>AVERAGE(Raw_II!G16,Raw_IiZ!G16,Raw_iZI!G16,Raw_iZiZ!G16)</x:f>
        <x:v>0.4990234375</x:v>
      </x:c>
      <x:c r="C16" s="26" t="n">
        <x:f>AVERAGE(Raw_II!H16,Raw_IiZ!H16,Raw_iZI!H16,Raw_iZiZ!H16)</x:f>
        <x:v>0.009765625</x:v>
      </x:c>
      <x:c r="D16" s="26" t="n">
        <x:f>AVERAGE(Raw_II!I16,Raw_IiZ!I16,Raw_iZI!I16,Raw_iZiZ!I16)</x:f>
        <x:v>0.0087890625</x:v>
      </x:c>
      <x:c r="E16" s="26" t="n">
        <x:f>AVERAGE(Raw_II!J16,Raw_IiZ!J16,Raw_iZI!J16,Raw_iZiZ!J16)</x:f>
        <x:v>0.482421875</x:v>
      </x:c>
      <x:c r="F16" s="26" t="n">
        <x:f>0.5*(ABS(B16-0.5)+ABS(C16)+ABS(D16)+ABS(E16-0.5))</x:f>
        <x:v>0.0185546875</x:v>
      </x:c>
    </x:row>
    <x:row r="17">
      <x:c r="A17" t="n">
        <x:v>14</x:v>
      </x:c>
      <x:c r="B17" s="26" t="n">
        <x:f>AVERAGE(Raw_II!G17,Raw_IiZ!G17,Raw_iZI!G17,Raw_iZiZ!G17)</x:f>
        <x:v>0.494140625</x:v>
      </x:c>
      <x:c r="C17" s="26" t="n">
        <x:f>AVERAGE(Raw_II!H17,Raw_IiZ!H17,Raw_iZI!H17,Raw_iZiZ!H17)</x:f>
        <x:v>0.0107421875</x:v>
      </x:c>
      <x:c r="D17" s="26" t="n">
        <x:f>AVERAGE(Raw_II!I17,Raw_IiZ!I17,Raw_iZI!I17,Raw_iZiZ!I17)</x:f>
        <x:v>0.005859375</x:v>
      </x:c>
      <x:c r="E17" s="26" t="n">
        <x:f>AVERAGE(Raw_II!J17,Raw_IiZ!J17,Raw_iZI!J17,Raw_iZiZ!J17)</x:f>
        <x:v>0.4892578125</x:v>
      </x:c>
      <x:c r="F17" s="26" t="n">
        <x:f>0.5*(ABS(B17-0.5)+ABS(C17)+ABS(D17)+ABS(E17-0.5))</x:f>
        <x:v>0.0166015625</x:v>
      </x:c>
    </x:row>
    <x:row r="18">
      <x:c r="A18" t="n">
        <x:v>15</x:v>
      </x:c>
      <x:c r="B18" s="26" t="n">
        <x:f>AVERAGE(Raw_II!G18,Raw_IiZ!G18,Raw_iZI!G18,Raw_iZiZ!G18)</x:f>
        <x:v>0.5029296875</x:v>
      </x:c>
      <x:c r="C18" s="26" t="n">
        <x:f>AVERAGE(Raw_II!H18,Raw_IiZ!H18,Raw_iZI!H18,Raw_iZiZ!H18)</x:f>
        <x:v>0.009765625</x:v>
      </x:c>
      <x:c r="D18" s="26" t="n">
        <x:f>AVERAGE(Raw_II!I18,Raw_IiZ!I18,Raw_iZI!I18,Raw_iZiZ!I18)</x:f>
        <x:v>0.005859375</x:v>
      </x:c>
      <x:c r="E18" s="26" t="n">
        <x:f>AVERAGE(Raw_II!J18,Raw_IiZ!J18,Raw_iZI!J18,Raw_iZiZ!J18)</x:f>
        <x:v>0.4814453125</x:v>
      </x:c>
      <x:c r="F18" s="26" t="n">
        <x:f>0.5*(ABS(B18-0.5)+ABS(C18)+ABS(D18)+ABS(E18-0.5))</x:f>
        <x:v>0.0185546875</x:v>
      </x:c>
    </x:row>
    <x:row r="19">
      <x:c r="A19" t="n">
        <x:v>16</x:v>
      </x:c>
      <x:c r="B19" s="26" t="n">
        <x:f>AVERAGE(Raw_II!G19,Raw_IiZ!G19,Raw_iZI!G19,Raw_iZiZ!G19)</x:f>
        <x:v>0.5009765625</x:v>
      </x:c>
      <x:c r="C19" s="26" t="n">
        <x:f>AVERAGE(Raw_II!H19,Raw_IiZ!H19,Raw_iZI!H19,Raw_iZiZ!H19)</x:f>
        <x:v>0.009765625</x:v>
      </x:c>
      <x:c r="D19" s="26" t="n">
        <x:f>AVERAGE(Raw_II!I19,Raw_IiZ!I19,Raw_iZI!I19,Raw_iZiZ!I19)</x:f>
        <x:v>0.0087890625</x:v>
      </x:c>
      <x:c r="E19" s="26" t="n">
        <x:f>AVERAGE(Raw_II!J19,Raw_IiZ!J19,Raw_iZI!J19,Raw_iZiZ!J19)</x:f>
        <x:v>0.48046875</x:v>
      </x:c>
      <x:c r="F19" s="26" t="n">
        <x:f>0.5*(ABS(B19-0.5)+ABS(C19)+ABS(D19)+ABS(E19-0.5))</x:f>
        <x:v>0.01953125</x:v>
      </x:c>
    </x:row>
    <x:row r="20">
      <x:c r="A20" t="n">
        <x:v>17</x:v>
      </x:c>
      <x:c r="B20" s="26" t="n">
        <x:f>AVERAGE(Raw_II!G20,Raw_IiZ!G20,Raw_iZI!G20,Raw_iZiZ!G20)</x:f>
        <x:v>0.4921875</x:v>
      </x:c>
      <x:c r="C20" s="26" t="n">
        <x:f>AVERAGE(Raw_II!H20,Raw_IiZ!H20,Raw_iZI!H20,Raw_iZiZ!H20)</x:f>
        <x:v>0.0146484375</x:v>
      </x:c>
      <x:c r="D20" s="26" t="n">
        <x:f>AVERAGE(Raw_II!I20,Raw_IiZ!I20,Raw_iZI!I20,Raw_iZiZ!I20)</x:f>
        <x:v>0.0087890625</x:v>
      </x:c>
      <x:c r="E20" s="26" t="n">
        <x:f>AVERAGE(Raw_II!J20,Raw_IiZ!J20,Raw_iZI!J20,Raw_iZiZ!J20)</x:f>
        <x:v>0.484375</x:v>
      </x:c>
      <x:c r="F20" s="26" t="n">
        <x:f>0.5*(ABS(B20-0.5)+ABS(C20)+ABS(D20)+ABS(E20-0.5))</x:f>
        <x:v>0.0234375</x:v>
      </x:c>
    </x:row>
    <x:row r="21">
      <x:c r="A21" t="n">
        <x:v>18</x:v>
      </x:c>
      <x:c r="B21" s="26" t="n">
        <x:f>AVERAGE(Raw_II!G21,Raw_IiZ!G21,Raw_iZI!G21,Raw_iZiZ!G21)</x:f>
        <x:v>0.49609375</x:v>
      </x:c>
      <x:c r="C21" s="26" t="n">
        <x:f>AVERAGE(Raw_II!H21,Raw_IiZ!H21,Raw_iZI!H21,Raw_iZiZ!H21)</x:f>
        <x:v>0.0126953125</x:v>
      </x:c>
      <x:c r="D21" s="26" t="n">
        <x:f>AVERAGE(Raw_II!I21,Raw_IiZ!I21,Raw_iZI!I21,Raw_iZiZ!I21)</x:f>
        <x:v>0.0078125</x:v>
      </x:c>
      <x:c r="E21" s="26" t="n">
        <x:f>AVERAGE(Raw_II!J21,Raw_IiZ!J21,Raw_iZI!J21,Raw_iZiZ!J21)</x:f>
        <x:v>0.4833984375</x:v>
      </x:c>
      <x:c r="F21" s="26" t="n">
        <x:f>0.5*(ABS(B21-0.5)+ABS(C21)+ABS(D21)+ABS(E21-0.5))</x:f>
        <x:v>0.0205078125</x:v>
      </x:c>
    </x:row>
    <x:row r="22">
      <x:c r="A22" t="n">
        <x:v>19</x:v>
      </x:c>
      <x:c r="B22" s="26" t="n">
        <x:f>AVERAGE(Raw_II!G22,Raw_IiZ!G22,Raw_iZI!G22,Raw_iZiZ!G22)</x:f>
        <x:v>0.4931640625</x:v>
      </x:c>
      <x:c r="C22" s="26" t="n">
        <x:f>AVERAGE(Raw_II!H22,Raw_IiZ!H22,Raw_iZI!H22,Raw_iZiZ!H22)</x:f>
        <x:v>0.01171875</x:v>
      </x:c>
      <x:c r="D22" s="26" t="n">
        <x:f>AVERAGE(Raw_II!I22,Raw_IiZ!I22,Raw_iZI!I22,Raw_iZiZ!I22)</x:f>
        <x:v>0.0107421875</x:v>
      </x:c>
      <x:c r="E22" s="26" t="n">
        <x:f>AVERAGE(Raw_II!J22,Raw_IiZ!J22,Raw_iZI!J22,Raw_iZiZ!J22)</x:f>
        <x:v>0.484375</x:v>
      </x:c>
      <x:c r="F22" s="26" t="n">
        <x:f>0.5*(ABS(B22-0.5)+ABS(C22)+ABS(D22)+ABS(E22-0.5))</x:f>
        <x:v>0.0224609375</x:v>
      </x:c>
    </x:row>
    <x:row r="23">
      <x:c r="A23" t="n">
        <x:v>20</x:v>
      </x:c>
      <x:c r="B23" s="26" t="n">
        <x:f>AVERAGE(Raw_II!G23,Raw_IiZ!G23,Raw_iZI!G23,Raw_iZiZ!G23)</x:f>
        <x:v>0.494140625</x:v>
      </x:c>
      <x:c r="C23" s="26" t="n">
        <x:f>AVERAGE(Raw_II!H23,Raw_IiZ!H23,Raw_iZI!H23,Raw_iZiZ!H23)</x:f>
        <x:v>0.0107421875</x:v>
      </x:c>
      <x:c r="D23" s="26" t="n">
        <x:f>AVERAGE(Raw_II!I23,Raw_IiZ!I23,Raw_iZI!I23,Raw_iZiZ!I23)</x:f>
        <x:v>0.0107421875</x:v>
      </x:c>
      <x:c r="E23" s="26" t="n">
        <x:f>AVERAGE(Raw_II!J23,Raw_IiZ!J23,Raw_iZI!J23,Raw_iZiZ!J23)</x:f>
        <x:v>0.484375</x:v>
      </x:c>
      <x:c r="F23" s="26" t="n">
        <x:f>0.5*(ABS(B23-0.5)+ABS(C23)+ABS(D23)+ABS(E23-0.5))</x:f>
        <x:v>0.021484375</x:v>
      </x:c>
    </x:row>
    <x:row r="24">
      <x:c r="A24" t="n">
        <x:v>21</x:v>
      </x:c>
      <x:c r="B24" s="26" t="n">
        <x:f>AVERAGE(Raw_II!G24,Raw_IiZ!G24,Raw_iZI!G24,Raw_iZiZ!G24)</x:f>
        <x:v>0.4921875</x:v>
      </x:c>
      <x:c r="C24" s="26" t="n">
        <x:f>AVERAGE(Raw_II!H24,Raw_IiZ!H24,Raw_iZI!H24,Raw_iZiZ!H24)</x:f>
        <x:v>0.0166015625</x:v>
      </x:c>
      <x:c r="D24" s="26" t="n">
        <x:f>AVERAGE(Raw_II!I24,Raw_IiZ!I24,Raw_iZI!I24,Raw_iZiZ!I24)</x:f>
        <x:v>0.0029296875</x:v>
      </x:c>
      <x:c r="E24" s="26" t="n">
        <x:f>AVERAGE(Raw_II!J24,Raw_IiZ!J24,Raw_iZI!J24,Raw_iZiZ!J24)</x:f>
        <x:v>0.48828125</x:v>
      </x:c>
      <x:c r="F24" s="26" t="n">
        <x:f>0.5*(ABS(B24-0.5)+ABS(C24)+ABS(D24)+ABS(E24-0.5))</x:f>
        <x:v>0.01953125</x:v>
      </x:c>
    </x:row>
    <x:row r="25">
      <x:c r="A25" t="n">
        <x:v>22</x:v>
      </x:c>
      <x:c r="B25" s="26" t="n">
        <x:f>AVERAGE(Raw_II!G25,Raw_IiZ!G25,Raw_iZI!G25,Raw_iZiZ!G25)</x:f>
        <x:v>0.4951171875</x:v>
      </x:c>
      <x:c r="C25" s="26" t="n">
        <x:f>AVERAGE(Raw_II!H25,Raw_IiZ!H25,Raw_iZI!H25,Raw_iZiZ!H25)</x:f>
        <x:v>0.0146484375</x:v>
      </x:c>
      <x:c r="D25" s="26" t="n">
        <x:f>AVERAGE(Raw_II!I25,Raw_IiZ!I25,Raw_iZI!I25,Raw_iZiZ!I25)</x:f>
        <x:v>0.0087890625</x:v>
      </x:c>
      <x:c r="E25" s="26" t="n">
        <x:f>AVERAGE(Raw_II!J25,Raw_IiZ!J25,Raw_iZI!J25,Raw_iZiZ!J25)</x:f>
        <x:v>0.4814453125</x:v>
      </x:c>
      <x:c r="F25" s="26" t="n">
        <x:f>0.5*(ABS(B25-0.5)+ABS(C25)+ABS(D25)+ABS(E25-0.5))</x:f>
        <x:v>0.0234375</x:v>
      </x:c>
    </x:row>
    <x:row r="26">
      <x:c r="A26" t="n">
        <x:v>23</x:v>
      </x:c>
      <x:c r="B26" s="26" t="n">
        <x:f>AVERAGE(Raw_II!G26,Raw_IiZ!G26,Raw_iZI!G26,Raw_iZiZ!G26)</x:f>
        <x:v>0.5</x:v>
      </x:c>
      <x:c r="C26" s="26" t="n">
        <x:f>AVERAGE(Raw_II!H26,Raw_IiZ!H26,Raw_iZI!H26,Raw_iZiZ!H26)</x:f>
        <x:v>0.0087890625</x:v>
      </x:c>
      <x:c r="D26" s="26" t="n">
        <x:f>AVERAGE(Raw_II!I26,Raw_IiZ!I26,Raw_iZI!I26,Raw_iZiZ!I26)</x:f>
        <x:v>0.01171875</x:v>
      </x:c>
      <x:c r="E26" s="26" t="n">
        <x:f>AVERAGE(Raw_II!J26,Raw_IiZ!J26,Raw_iZI!J26,Raw_iZiZ!J26)</x:f>
        <x:v>0.4794921875</x:v>
      </x:c>
      <x:c r="F26" s="26" t="n">
        <x:f>0.5*(ABS(B26-0.5)+ABS(C26)+ABS(D26)+ABS(E26-0.5))</x:f>
        <x:v>0.0205078125</x:v>
      </x:c>
    </x:row>
    <x:row r="27">
      <x:c r="A27" t="n">
        <x:v>24</x:v>
      </x:c>
      <x:c r="B27" s="26" t="n">
        <x:f>AVERAGE(Raw_II!G27,Raw_IiZ!G27,Raw_iZI!G27,Raw_iZiZ!G27)</x:f>
        <x:v>0.4921875</x:v>
      </x:c>
      <x:c r="C27" s="26" t="n">
        <x:f>AVERAGE(Raw_II!H27,Raw_IiZ!H27,Raw_iZI!H27,Raw_iZiZ!H27)</x:f>
        <x:v>0.0146484375</x:v>
      </x:c>
      <x:c r="D27" s="26" t="n">
        <x:f>AVERAGE(Raw_II!I27,Raw_IiZ!I27,Raw_iZI!I27,Raw_iZiZ!I27)</x:f>
        <x:v>0.0126953125</x:v>
      </x:c>
      <x:c r="E27" s="26" t="n">
        <x:f>AVERAGE(Raw_II!J27,Raw_IiZ!J27,Raw_iZI!J27,Raw_iZiZ!J27)</x:f>
        <x:v>0.48046875</x:v>
      </x:c>
      <x:c r="F27" s="26" t="n">
        <x:f>0.5*(ABS(B27-0.5)+ABS(C27)+ABS(D27)+ABS(E27-0.5))</x:f>
        <x:v>0.02734375</x:v>
      </x:c>
    </x:row>
    <x:row r="28">
      <x:c r="A28" t="n">
        <x:v>25</x:v>
      </x:c>
      <x:c r="B28" s="26" t="n">
        <x:f>AVERAGE(Raw_II!G28,Raw_IiZ!G28,Raw_iZI!G28,Raw_iZiZ!G28)</x:f>
        <x:v>0.4912109375</x:v>
      </x:c>
      <x:c r="C28" s="26" t="n">
        <x:f>AVERAGE(Raw_II!H28,Raw_IiZ!H28,Raw_iZI!H28,Raw_iZiZ!H28)</x:f>
        <x:v>0.015625</x:v>
      </x:c>
      <x:c r="D28" s="26" t="n">
        <x:f>AVERAGE(Raw_II!I28,Raw_IiZ!I28,Raw_iZI!I28,Raw_iZiZ!I28)</x:f>
        <x:v>0.01171875</x:v>
      </x:c>
      <x:c r="E28" s="26" t="n">
        <x:f>AVERAGE(Raw_II!J28,Raw_IiZ!J28,Raw_iZI!J28,Raw_iZiZ!J28)</x:f>
        <x:v>0.4814453125</x:v>
      </x:c>
      <x:c r="F28" s="26" t="n">
        <x:f>0.5*(ABS(B28-0.5)+ABS(C28)+ABS(D28)+ABS(E28-0.5))</x:f>
        <x:v>0.02734375</x:v>
      </x:c>
    </x:row>
    <x:row r="29">
      <x:c r="A29" t="n">
        <x:v>26</x:v>
      </x:c>
      <x:c r="B29" s="26" t="n">
        <x:f>AVERAGE(Raw_II!G29,Raw_IiZ!G29,Raw_iZI!G29,Raw_iZiZ!G29)</x:f>
        <x:v>0.5048828125</x:v>
      </x:c>
      <x:c r="C29" s="26" t="n">
        <x:f>AVERAGE(Raw_II!H29,Raw_IiZ!H29,Raw_iZI!H29,Raw_iZiZ!H29)</x:f>
        <x:v>0.0078125</x:v>
      </x:c>
      <x:c r="D29" s="26" t="n">
        <x:f>AVERAGE(Raw_II!I29,Raw_IiZ!I29,Raw_iZI!I29,Raw_iZiZ!I29)</x:f>
        <x:v>0.0048828125</x:v>
      </x:c>
      <x:c r="E29" s="26" t="n">
        <x:f>AVERAGE(Raw_II!J29,Raw_IiZ!J29,Raw_iZI!J29,Raw_iZiZ!J29)</x:f>
        <x:v>0.482421875</x:v>
      </x:c>
      <x:c r="F29" s="26" t="n">
        <x:f>0.5*(ABS(B29-0.5)+ABS(C29)+ABS(D29)+ABS(E29-0.5))</x:f>
        <x:v>0.017578125</x:v>
      </x:c>
    </x:row>
    <x:row r="30">
      <x:c r="A30" t="n">
        <x:v>27</x:v>
      </x:c>
      <x:c r="B30" s="26" t="n">
        <x:f>AVERAGE(Raw_II!G30,Raw_IiZ!G30,Raw_iZI!G30,Raw_iZiZ!G30)</x:f>
        <x:v>0.4951171875</x:v>
      </x:c>
      <x:c r="C30" s="26" t="n">
        <x:f>AVERAGE(Raw_II!H30,Raw_IiZ!H30,Raw_iZI!H30,Raw_iZiZ!H30)</x:f>
        <x:v>0.0068359375</x:v>
      </x:c>
      <x:c r="D30" s="26" t="n">
        <x:f>AVERAGE(Raw_II!I30,Raw_IiZ!I30,Raw_iZI!I30,Raw_iZiZ!I30)</x:f>
        <x:v>0.0078125</x:v>
      </x:c>
      <x:c r="E30" s="26" t="n">
        <x:f>AVERAGE(Raw_II!J30,Raw_IiZ!J30,Raw_iZI!J30,Raw_iZiZ!J30)</x:f>
        <x:v>0.490234375</x:v>
      </x:c>
      <x:c r="F30" s="26" t="n">
        <x:f>0.5*(ABS(B30-0.5)+ABS(C30)+ABS(D30)+ABS(E30-0.5))</x:f>
        <x:v>0.0146484375</x:v>
      </x:c>
    </x:row>
    <x:row r="31">
      <x:c r="A31" t="n">
        <x:v>28</x:v>
      </x:c>
      <x:c r="B31" s="26" t="n">
        <x:f>AVERAGE(Raw_II!G31,Raw_IiZ!G31,Raw_iZI!G31,Raw_iZiZ!G31)</x:f>
        <x:v>0.4970703125</x:v>
      </x:c>
      <x:c r="C31" s="26" t="n">
        <x:f>AVERAGE(Raw_II!H31,Raw_IiZ!H31,Raw_iZI!H31,Raw_iZiZ!H31)</x:f>
        <x:v>0.0126953125</x:v>
      </x:c>
      <x:c r="D31" s="26" t="n">
        <x:f>AVERAGE(Raw_II!I31,Raw_IiZ!I31,Raw_iZI!I31,Raw_iZiZ!I31)</x:f>
        <x:v>0.0107421875</x:v>
      </x:c>
      <x:c r="E31" s="26" t="n">
        <x:f>AVERAGE(Raw_II!J31,Raw_IiZ!J31,Raw_iZI!J31,Raw_iZiZ!J31)</x:f>
        <x:v>0.4794921875</x:v>
      </x:c>
      <x:c r="F31" s="26" t="n">
        <x:f>0.5*(ABS(B31-0.5)+ABS(C31)+ABS(D31)+ABS(E31-0.5))</x:f>
        <x:v>0.0234375</x:v>
      </x:c>
    </x:row>
    <x:row r="32">
      <x:c r="A32" t="n">
        <x:v>29</x:v>
      </x:c>
      <x:c r="B32" s="26" t="n">
        <x:f>AVERAGE(Raw_II!G32,Raw_IiZ!G32,Raw_iZI!G32,Raw_iZiZ!G32)</x:f>
        <x:v>0.494140625</x:v>
      </x:c>
      <x:c r="C32" s="26" t="n">
        <x:f>AVERAGE(Raw_II!H32,Raw_IiZ!H32,Raw_iZI!H32,Raw_iZiZ!H32)</x:f>
        <x:v>0.015625</x:v>
      </x:c>
      <x:c r="D32" s="26" t="n">
        <x:f>AVERAGE(Raw_II!I32,Raw_IiZ!I32,Raw_iZI!I32,Raw_iZiZ!I32)</x:f>
        <x:v>0.01171875</x:v>
      </x:c>
      <x:c r="E32" s="26" t="n">
        <x:f>AVERAGE(Raw_II!J32,Raw_IiZ!J32,Raw_iZI!J32,Raw_iZiZ!J32)</x:f>
        <x:v>0.478515625</x:v>
      </x:c>
      <x:c r="F32" s="26" t="n">
        <x:f>0.5*(ABS(B32-0.5)+ABS(C32)+ABS(D32)+ABS(E32-0.5))</x:f>
        <x:v>0.02734375</x:v>
      </x:c>
    </x:row>
    <x:row r="33">
      <x:c r="A33" t="n">
        <x:v>30</x:v>
      </x:c>
      <x:c r="B33" s="26" t="n">
        <x:f>AVERAGE(Raw_II!G33,Raw_IiZ!G33,Raw_iZI!G33,Raw_iZiZ!G33)</x:f>
        <x:v>0.486328125</x:v>
      </x:c>
      <x:c r="C33" s="26" t="n">
        <x:f>AVERAGE(Raw_II!H33,Raw_IiZ!H33,Raw_iZI!H33,Raw_iZiZ!H33)</x:f>
        <x:v>0.0185546875</x:v>
      </x:c>
      <x:c r="D33" s="26" t="n">
        <x:f>AVERAGE(Raw_II!I33,Raw_IiZ!I33,Raw_iZI!I33,Raw_iZiZ!I33)</x:f>
        <x:v>0.009765625</x:v>
      </x:c>
      <x:c r="E33" s="26" t="n">
        <x:f>AVERAGE(Raw_II!J33,Raw_IiZ!J33,Raw_iZI!J33,Raw_iZiZ!J33)</x:f>
        <x:v>0.4853515625</x:v>
      </x:c>
      <x:c r="F33" s="26" t="n">
        <x:f>0.5*(ABS(B33-0.5)+ABS(C33)+ABS(D33)+ABS(E33-0.5))</x:f>
        <x:v>0.0283203125</x:v>
      </x:c>
    </x:row>
    <x:row r="34">
      <x:c r="A34" t="n">
        <x:v>31</x:v>
      </x:c>
      <x:c r="B34" s="26" t="n">
        <x:f>AVERAGE(Raw_II!G34,Raw_IiZ!G34,Raw_iZI!G34,Raw_iZiZ!G34)</x:f>
        <x:v>0.4970703125</x:v>
      </x:c>
      <x:c r="C34" s="26" t="n">
        <x:f>AVERAGE(Raw_II!H34,Raw_IiZ!H34,Raw_iZI!H34,Raw_iZiZ!H34)</x:f>
        <x:v>0.0166015625</x:v>
      </x:c>
      <x:c r="D34" s="26" t="n">
        <x:f>AVERAGE(Raw_II!I34,Raw_IiZ!I34,Raw_iZI!I34,Raw_iZiZ!I34)</x:f>
        <x:v>0.0087890625</x:v>
      </x:c>
      <x:c r="E34" s="26" t="n">
        <x:f>AVERAGE(Raw_II!J34,Raw_IiZ!J34,Raw_iZI!J34,Raw_iZiZ!J34)</x:f>
        <x:v>0.4775390625</x:v>
      </x:c>
      <x:c r="F34" s="26" t="n">
        <x:f>0.5*(ABS(B34-0.5)+ABS(C34)+ABS(D34)+ABS(E34-0.5))</x:f>
        <x:v>0.025390625</x:v>
      </x:c>
    </x:row>
    <x:row r="35">
      <x:c r="A35" t="n">
        <x:v>32</x:v>
      </x:c>
      <x:c r="B35" s="26" t="n">
        <x:f>AVERAGE(Raw_II!G35,Raw_IiZ!G35,Raw_iZI!G35,Raw_iZiZ!G35)</x:f>
        <x:v>0.498046875</x:v>
      </x:c>
      <x:c r="C35" s="26" t="n">
        <x:f>AVERAGE(Raw_II!H35,Raw_IiZ!H35,Raw_iZI!H35,Raw_iZiZ!H35)</x:f>
        <x:v>0.0068359375</x:v>
      </x:c>
      <x:c r="D35" s="26" t="n">
        <x:f>AVERAGE(Raw_II!I35,Raw_IiZ!I35,Raw_iZI!I35,Raw_iZiZ!I35)</x:f>
        <x:v>0.0087890625</x:v>
      </x:c>
      <x:c r="E35" s="26" t="n">
        <x:f>AVERAGE(Raw_II!J35,Raw_IiZ!J35,Raw_iZI!J35,Raw_iZiZ!J35)</x:f>
        <x:v>0.486328125</x:v>
      </x:c>
      <x:c r="F35" s="26" t="n">
        <x:f>0.5*(ABS(B35-0.5)+ABS(C35)+ABS(D35)+ABS(E35-0.5))</x:f>
        <x:v>0.015625</x:v>
      </x:c>
    </x:row>
    <x:row r="36">
      <x:c r="A36" t="n">
        <x:v>33</x:v>
      </x:c>
      <x:c r="B36" s="26" t="n">
        <x:f>AVERAGE(Raw_II!G36,Raw_IiZ!G36,Raw_iZI!G36,Raw_iZiZ!G36)</x:f>
        <x:v>0.498046875</x:v>
      </x:c>
      <x:c r="C36" s="26" t="n">
        <x:f>AVERAGE(Raw_II!H36,Raw_IiZ!H36,Raw_iZI!H36,Raw_iZiZ!H36)</x:f>
        <x:v>0.0087890625</x:v>
      </x:c>
      <x:c r="D36" s="26" t="n">
        <x:f>AVERAGE(Raw_II!I36,Raw_IiZ!I36,Raw_iZI!I36,Raw_iZiZ!I36)</x:f>
        <x:v>0.0126953125</x:v>
      </x:c>
      <x:c r="E36" s="26" t="n">
        <x:f>AVERAGE(Raw_II!J36,Raw_IiZ!J36,Raw_iZI!J36,Raw_iZiZ!J36)</x:f>
        <x:v>0.48046875</x:v>
      </x:c>
      <x:c r="F36" s="26" t="n">
        <x:f>0.5*(ABS(B36-0.5)+ABS(C36)+ABS(D36)+ABS(E36-0.5))</x:f>
        <x:v>0.021484375</x:v>
      </x:c>
    </x:row>
    <x:row r="37">
      <x:c r="A37" t="n">
        <x:v>34</x:v>
      </x:c>
      <x:c r="B37" s="26" t="n">
        <x:f>AVERAGE(Raw_II!G37,Raw_IiZ!G37,Raw_iZI!G37,Raw_iZiZ!G37)</x:f>
        <x:v>0.49609375</x:v>
      </x:c>
      <x:c r="C37" s="26" t="n">
        <x:f>AVERAGE(Raw_II!H37,Raw_IiZ!H37,Raw_iZI!H37,Raw_iZiZ!H37)</x:f>
        <x:v>0.0087890625</x:v>
      </x:c>
      <x:c r="D37" s="26" t="n">
        <x:f>AVERAGE(Raw_II!I37,Raw_IiZ!I37,Raw_iZI!I37,Raw_iZiZ!I37)</x:f>
        <x:v>0.009765625</x:v>
      </x:c>
      <x:c r="E37" s="26" t="n">
        <x:f>AVERAGE(Raw_II!J37,Raw_IiZ!J37,Raw_iZI!J37,Raw_iZiZ!J37)</x:f>
        <x:v>0.4853515625</x:v>
      </x:c>
      <x:c r="F37" s="26" t="n">
        <x:f>0.5*(ABS(B37-0.5)+ABS(C37)+ABS(D37)+ABS(E37-0.5))</x:f>
        <x:v>0.0185546875</x:v>
      </x:c>
    </x:row>
    <x:row r="38">
      <x:c r="A38" t="n">
        <x:v>35</x:v>
      </x:c>
      <x:c r="B38" s="26" t="n">
        <x:f>AVERAGE(Raw_II!G38,Raw_IiZ!G38,Raw_iZI!G38,Raw_iZiZ!G38)</x:f>
        <x:v>0.4970703125</x:v>
      </x:c>
      <x:c r="C38" s="26" t="n">
        <x:f>AVERAGE(Raw_II!H38,Raw_IiZ!H38,Raw_iZI!H38,Raw_iZiZ!H38)</x:f>
        <x:v>0.0126953125</x:v>
      </x:c>
      <x:c r="D38" s="26" t="n">
        <x:f>AVERAGE(Raw_II!I38,Raw_IiZ!I38,Raw_iZI!I38,Raw_iZiZ!I38)</x:f>
        <x:v>0.0048828125</x:v>
      </x:c>
      <x:c r="E38" s="26" t="n">
        <x:f>AVERAGE(Raw_II!J38,Raw_IiZ!J38,Raw_iZI!J38,Raw_iZiZ!J38)</x:f>
        <x:v>0.4853515625</x:v>
      </x:c>
      <x:c r="F38" s="26" t="n">
        <x:f>0.5*(ABS(B38-0.5)+ABS(C38)+ABS(D38)+ABS(E38-0.5))</x:f>
        <x:v>0.017578125</x:v>
      </x:c>
    </x:row>
    <x:row r="39">
      <x:c r="A39" t="n">
        <x:v>36</x:v>
      </x:c>
      <x:c r="B39" s="26" t="n">
        <x:f>AVERAGE(Raw_II!G39,Raw_IiZ!G39,Raw_iZI!G39,Raw_iZiZ!G39)</x:f>
        <x:v>0.49609375</x:v>
      </x:c>
      <x:c r="C39" s="26" t="n">
        <x:f>AVERAGE(Raw_II!H39,Raw_IiZ!H39,Raw_iZI!H39,Raw_iZiZ!H39)</x:f>
        <x:v>0.0107421875</x:v>
      </x:c>
      <x:c r="D39" s="26" t="n">
        <x:f>AVERAGE(Raw_II!I39,Raw_IiZ!I39,Raw_iZI!I39,Raw_iZiZ!I39)</x:f>
        <x:v>0.009765625</x:v>
      </x:c>
      <x:c r="E39" s="26" t="n">
        <x:f>AVERAGE(Raw_II!J39,Raw_IiZ!J39,Raw_iZI!J39,Raw_iZiZ!J39)</x:f>
        <x:v>0.4833984375</x:v>
      </x:c>
      <x:c r="F39" s="26" t="n">
        <x:f>0.5*(ABS(B39-0.5)+ABS(C39)+ABS(D39)+ABS(E39-0.5))</x:f>
        <x:v>0.0205078125</x:v>
      </x:c>
    </x:row>
    <x:row r="40">
      <x:c r="A40" t="n">
        <x:v>37</x:v>
      </x:c>
      <x:c r="B40" s="26" t="n">
        <x:f>AVERAGE(Raw_II!G40,Raw_IiZ!G40,Raw_iZI!G40,Raw_iZiZ!G40)</x:f>
        <x:v>0.4951171875</x:v>
      </x:c>
      <x:c r="C40" s="26" t="n">
        <x:f>AVERAGE(Raw_II!H40,Raw_IiZ!H40,Raw_iZI!H40,Raw_iZiZ!H40)</x:f>
        <x:v>0.0146484375</x:v>
      </x:c>
      <x:c r="D40" s="26" t="n">
        <x:f>AVERAGE(Raw_II!I40,Raw_IiZ!I40,Raw_iZI!I40,Raw_iZiZ!I40)</x:f>
        <x:v>0.0087890625</x:v>
      </x:c>
      <x:c r="E40" s="26" t="n">
        <x:f>AVERAGE(Raw_II!J40,Raw_IiZ!J40,Raw_iZI!J40,Raw_iZiZ!J40)</x:f>
        <x:v>0.4814453125</x:v>
      </x:c>
      <x:c r="F40" s="26" t="n">
        <x:f>0.5*(ABS(B40-0.5)+ABS(C40)+ABS(D40)+ABS(E40-0.5))</x:f>
        <x:v>0.0234375</x:v>
      </x:c>
    </x:row>
    <x:row r="41">
      <x:c r="A41" t="n">
        <x:v>38</x:v>
      </x:c>
      <x:c r="B41" s="26" t="n">
        <x:f>AVERAGE(Raw_II!G41,Raw_IiZ!G41,Raw_iZI!G41,Raw_iZiZ!G41)</x:f>
        <x:v>0.4931640625</x:v>
      </x:c>
      <x:c r="C41" s="26" t="n">
        <x:f>AVERAGE(Raw_II!H41,Raw_IiZ!H41,Raw_iZI!H41,Raw_iZiZ!H41)</x:f>
        <x:v>0.0107421875</x:v>
      </x:c>
      <x:c r="D41" s="26" t="n">
        <x:f>AVERAGE(Raw_II!I41,Raw_IiZ!I41,Raw_iZI!I41,Raw_iZiZ!I41)</x:f>
        <x:v>0.01171875</x:v>
      </x:c>
      <x:c r="E41" s="26" t="n">
        <x:f>AVERAGE(Raw_II!J41,Raw_IiZ!J41,Raw_iZI!J41,Raw_iZiZ!J41)</x:f>
        <x:v>0.484375</x:v>
      </x:c>
      <x:c r="F41" s="26" t="n">
        <x:f>0.5*(ABS(B41-0.5)+ABS(C41)+ABS(D41)+ABS(E41-0.5))</x:f>
        <x:v>0.0224609375</x:v>
      </x:c>
    </x:row>
    <x:row r="42">
      <x:c r="A42" t="n">
        <x:v>39</x:v>
      </x:c>
      <x:c r="B42" s="26" t="n">
        <x:f>AVERAGE(Raw_II!G42,Raw_IiZ!G42,Raw_iZI!G42,Raw_iZiZ!G42)</x:f>
        <x:v>0.4873046875</x:v>
      </x:c>
      <x:c r="C42" s="26" t="n">
        <x:f>AVERAGE(Raw_II!H42,Raw_IiZ!H42,Raw_iZI!H42,Raw_iZiZ!H42)</x:f>
        <x:v>0.0126953125</x:v>
      </x:c>
      <x:c r="D42" s="26" t="n">
        <x:f>AVERAGE(Raw_II!I42,Raw_IiZ!I42,Raw_iZI!I42,Raw_iZiZ!I42)</x:f>
        <x:v>0.0166015625</x:v>
      </x:c>
      <x:c r="E42" s="26" t="n">
        <x:f>AVERAGE(Raw_II!J42,Raw_IiZ!J42,Raw_iZI!J42,Raw_iZiZ!J42)</x:f>
        <x:v>0.4833984375</x:v>
      </x:c>
      <x:c r="F42" s="26" t="n">
        <x:f>0.5*(ABS(B42-0.5)+ABS(C42)+ABS(D42)+ABS(E42-0.5))</x:f>
        <x:v>0.029296875</x:v>
      </x:c>
    </x:row>
    <x:row r="43">
      <x:c r="A43" t="n">
        <x:v>40</x:v>
      </x:c>
      <x:c r="B43" s="26" t="n">
        <x:f>AVERAGE(Raw_II!G43,Raw_IiZ!G43,Raw_iZI!G43,Raw_iZiZ!G43)</x:f>
        <x:v>0.4970703125</x:v>
      </x:c>
      <x:c r="C43" s="26" t="n">
        <x:f>AVERAGE(Raw_II!H43,Raw_IiZ!H43,Raw_iZI!H43,Raw_iZiZ!H43)</x:f>
        <x:v>0.0107421875</x:v>
      </x:c>
      <x:c r="D43" s="26" t="n">
        <x:f>AVERAGE(Raw_II!I43,Raw_IiZ!I43,Raw_iZI!I43,Raw_iZiZ!I43)</x:f>
        <x:v>0.0146484375</x:v>
      </x:c>
      <x:c r="E43" s="26" t="n">
        <x:f>AVERAGE(Raw_II!J43,Raw_IiZ!J43,Raw_iZI!J43,Raw_iZiZ!J43)</x:f>
        <x:v>0.4775390625</x:v>
      </x:c>
      <x:c r="F43" s="26" t="n">
        <x:f>0.5*(ABS(B43-0.5)+ABS(C43)+ABS(D43)+ABS(E43-0.5))</x:f>
        <x:v>0.025390625</x:v>
      </x:c>
    </x:row>
    <x:row r="44">
      <x:c r="A44" t="n">
        <x:v>41</x:v>
      </x:c>
      <x:c r="B44" s="26" t="n">
        <x:f>AVERAGE(Raw_II!G44,Raw_IiZ!G44,Raw_iZI!G44,Raw_iZiZ!G44)</x:f>
        <x:v>0.490234375</x:v>
      </x:c>
      <x:c r="C44" s="26" t="n">
        <x:f>AVERAGE(Raw_II!H44,Raw_IiZ!H44,Raw_iZI!H44,Raw_iZiZ!H44)</x:f>
        <x:v>0.013671875</x:v>
      </x:c>
      <x:c r="D44" s="26" t="n">
        <x:f>AVERAGE(Raw_II!I44,Raw_IiZ!I44,Raw_iZI!I44,Raw_iZiZ!I44)</x:f>
        <x:v>0.0078125</x:v>
      </x:c>
      <x:c r="E44" s="26" t="n">
        <x:f>AVERAGE(Raw_II!J44,Raw_IiZ!J44,Raw_iZI!J44,Raw_iZiZ!J44)</x:f>
        <x:v>0.48828125</x:v>
      </x:c>
      <x:c r="F44" s="26" t="n">
        <x:f>0.5*(ABS(B44-0.5)+ABS(C44)+ABS(D44)+ABS(E44-0.5))</x:f>
        <x:v>0.021484375</x:v>
      </x:c>
    </x:row>
    <x:row r="45">
      <x:c r="A45" t="n">
        <x:v>42</x:v>
      </x:c>
      <x:c r="B45" s="26" t="n">
        <x:f>AVERAGE(Raw_II!G45,Raw_IiZ!G45,Raw_iZI!G45,Raw_iZiZ!G45)</x:f>
        <x:v>0.49609375</x:v>
      </x:c>
      <x:c r="C45" s="26" t="n">
        <x:f>AVERAGE(Raw_II!H45,Raw_IiZ!H45,Raw_iZI!H45,Raw_iZiZ!H45)</x:f>
        <x:v>0.0126953125</x:v>
      </x:c>
      <x:c r="D45" s="26" t="n">
        <x:f>AVERAGE(Raw_II!I45,Raw_IiZ!I45,Raw_iZI!I45,Raw_iZiZ!I45)</x:f>
        <x:v>0.0126953125</x:v>
      </x:c>
      <x:c r="E45" s="26" t="n">
        <x:f>AVERAGE(Raw_II!J45,Raw_IiZ!J45,Raw_iZI!J45,Raw_iZiZ!J45)</x:f>
        <x:v>0.478515625</x:v>
      </x:c>
      <x:c r="F45" s="26" t="n">
        <x:f>0.5*(ABS(B45-0.5)+ABS(C45)+ABS(D45)+ABS(E45-0.5))</x:f>
        <x:v>0.025390625</x:v>
      </x:c>
    </x:row>
    <x:row r="46">
      <x:c r="A46" t="n">
        <x:v>43</x:v>
      </x:c>
      <x:c r="B46" s="26" t="n">
        <x:f>AVERAGE(Raw_II!G46,Raw_IiZ!G46,Raw_iZI!G46,Raw_iZiZ!G46)</x:f>
        <x:v>0.49609375</x:v>
      </x:c>
      <x:c r="C46" s="26" t="n">
        <x:f>AVERAGE(Raw_II!H46,Raw_IiZ!H46,Raw_iZI!H46,Raw_iZiZ!H46)</x:f>
        <x:v>0.0087890625</x:v>
      </x:c>
      <x:c r="D46" s="26" t="n">
        <x:f>AVERAGE(Raw_II!I46,Raw_IiZ!I46,Raw_iZI!I46,Raw_iZiZ!I46)</x:f>
        <x:v>0.0087890625</x:v>
      </x:c>
      <x:c r="E46" s="26" t="n">
        <x:f>AVERAGE(Raw_II!J46,Raw_IiZ!J46,Raw_iZI!J46,Raw_iZiZ!J46)</x:f>
        <x:v>0.486328125</x:v>
      </x:c>
      <x:c r="F46" s="26" t="n">
        <x:f>0.5*(ABS(B46-0.5)+ABS(C46)+ABS(D46)+ABS(E46-0.5))</x:f>
        <x:v>0.017578125</x:v>
      </x:c>
    </x:row>
    <x:row r="47">
      <x:c r="A47" t="n">
        <x:v>44</x:v>
      </x:c>
      <x:c r="B47" s="26" t="n">
        <x:f>AVERAGE(Raw_II!G47,Raw_IiZ!G47,Raw_iZI!G47,Raw_iZiZ!G47)</x:f>
        <x:v>0.498046875</x:v>
      </x:c>
      <x:c r="C47" s="26" t="n">
        <x:f>AVERAGE(Raw_II!H47,Raw_IiZ!H47,Raw_iZI!H47,Raw_iZiZ!H47)</x:f>
        <x:v>0.0146484375</x:v>
      </x:c>
      <x:c r="D47" s="26" t="n">
        <x:f>AVERAGE(Raw_II!I47,Raw_IiZ!I47,Raw_iZI!I47,Raw_iZiZ!I47)</x:f>
        <x:v>0.009765625</x:v>
      </x:c>
      <x:c r="E47" s="26" t="n">
        <x:f>AVERAGE(Raw_II!J47,Raw_IiZ!J47,Raw_iZI!J47,Raw_iZiZ!J47)</x:f>
        <x:v>0.4775390625</x:v>
      </x:c>
      <x:c r="F47" s="26" t="n">
        <x:f>0.5*(ABS(B47-0.5)+ABS(C47)+ABS(D47)+ABS(E47-0.5))</x:f>
        <x:v>0.0244140625</x:v>
      </x:c>
    </x:row>
    <x:row r="48">
      <x:c r="A48" t="n">
        <x:v>45</x:v>
      </x:c>
      <x:c r="B48" s="26" t="n">
        <x:f>AVERAGE(Raw_II!G48,Raw_IiZ!G48,Raw_iZI!G48,Raw_iZiZ!G48)</x:f>
        <x:v>0.4970703125</x:v>
      </x:c>
      <x:c r="C48" s="26" t="n">
        <x:f>AVERAGE(Raw_II!H48,Raw_IiZ!H48,Raw_iZI!H48,Raw_iZiZ!H48)</x:f>
        <x:v>0.0087890625</x:v>
      </x:c>
      <x:c r="D48" s="26" t="n">
        <x:f>AVERAGE(Raw_II!I48,Raw_IiZ!I48,Raw_iZI!I48,Raw_iZiZ!I48)</x:f>
        <x:v>0.0107421875</x:v>
      </x:c>
      <x:c r="E48" s="26" t="n">
        <x:f>AVERAGE(Raw_II!J48,Raw_IiZ!J48,Raw_iZI!J48,Raw_iZiZ!J48)</x:f>
        <x:v>0.4833984375</x:v>
      </x:c>
      <x:c r="F48" s="26" t="n">
        <x:f>0.5*(ABS(B48-0.5)+ABS(C48)+ABS(D48)+ABS(E48-0.5))</x:f>
        <x:v>0.01953125</x:v>
      </x:c>
    </x:row>
    <x:row r="49">
      <x:c r="A49" t="n">
        <x:v>46</x:v>
      </x:c>
      <x:c r="B49" s="26" t="n">
        <x:f>AVERAGE(Raw_II!G49,Raw_IiZ!G49,Raw_iZI!G49,Raw_iZiZ!G49)</x:f>
        <x:v>0.4931640625</x:v>
      </x:c>
      <x:c r="C49" s="26" t="n">
        <x:f>AVERAGE(Raw_II!H49,Raw_IiZ!H49,Raw_iZI!H49,Raw_iZiZ!H49)</x:f>
        <x:v>0.0185546875</x:v>
      </x:c>
      <x:c r="D49" s="26" t="n">
        <x:f>AVERAGE(Raw_II!I49,Raw_IiZ!I49,Raw_iZI!I49,Raw_iZiZ!I49)</x:f>
        <x:v>0.009765625</x:v>
      </x:c>
      <x:c r="E49" s="26" t="n">
        <x:f>AVERAGE(Raw_II!J49,Raw_IiZ!J49,Raw_iZI!J49,Raw_iZiZ!J49)</x:f>
        <x:v>0.478515625</x:v>
      </x:c>
      <x:c r="F49" s="26" t="n">
        <x:f>0.5*(ABS(B49-0.5)+ABS(C49)+ABS(D49)+ABS(E49-0.5))</x:f>
        <x:v>0.0283203125</x:v>
      </x:c>
    </x:row>
    <x:row r="50">
      <x:c r="A50" t="n">
        <x:v>47</x:v>
      </x:c>
      <x:c r="B50" s="26" t="n">
        <x:f>AVERAGE(Raw_II!G50,Raw_IiZ!G50,Raw_iZI!G50,Raw_iZiZ!G50)</x:f>
        <x:v>0.4931640625</x:v>
      </x:c>
      <x:c r="C50" s="26" t="n">
        <x:f>AVERAGE(Raw_II!H50,Raw_IiZ!H50,Raw_iZI!H50,Raw_iZiZ!H50)</x:f>
        <x:v>0.01171875</x:v>
      </x:c>
      <x:c r="D50" s="26" t="n">
        <x:f>AVERAGE(Raw_II!I50,Raw_IiZ!I50,Raw_iZI!I50,Raw_iZiZ!I50)</x:f>
        <x:v>0.0107421875</x:v>
      </x:c>
      <x:c r="E50" s="26" t="n">
        <x:f>AVERAGE(Raw_II!J50,Raw_IiZ!J50,Raw_iZI!J50,Raw_iZiZ!J50)</x:f>
        <x:v>0.484375</x:v>
      </x:c>
      <x:c r="F50" s="26" t="n">
        <x:f>0.5*(ABS(B50-0.5)+ABS(C50)+ABS(D50)+ABS(E50-0.5))</x:f>
        <x:v>0.0224609375</x:v>
      </x:c>
    </x:row>
    <x:row r="51">
      <x:c r="A51" t="n">
        <x:v>48</x:v>
      </x:c>
      <x:c r="B51" s="26" t="n">
        <x:f>AVERAGE(Raw_II!G51,Raw_IiZ!G51,Raw_iZI!G51,Raw_iZiZ!G51)</x:f>
        <x:v>0.501953125</x:v>
      </x:c>
      <x:c r="C51" s="26" t="n">
        <x:f>AVERAGE(Raw_II!H51,Raw_IiZ!H51,Raw_iZI!H51,Raw_iZiZ!H51)</x:f>
        <x:v>0.009765625</x:v>
      </x:c>
      <x:c r="D51" s="26" t="n">
        <x:f>AVERAGE(Raw_II!I51,Raw_IiZ!I51,Raw_iZI!I51,Raw_iZiZ!I51)</x:f>
        <x:v>0.0068359375</x:v>
      </x:c>
      <x:c r="E51" s="26" t="n">
        <x:f>AVERAGE(Raw_II!J51,Raw_IiZ!J51,Raw_iZI!J51,Raw_iZiZ!J51)</x:f>
        <x:v>0.4814453125</x:v>
      </x:c>
      <x:c r="F51" s="26" t="n">
        <x:f>0.5*(ABS(B51-0.5)+ABS(C51)+ABS(D51)+ABS(E51-0.5))</x:f>
        <x:v>0.0185546875</x:v>
      </x:c>
    </x:row>
    <x:row r="52">
      <x:c r="A52" t="n">
        <x:v>49</x:v>
      </x:c>
      <x:c r="B52" s="26" t="n">
        <x:f>AVERAGE(Raw_II!G52,Raw_IiZ!G52,Raw_iZI!G52,Raw_iZiZ!G52)</x:f>
        <x:v>0.4951171875</x:v>
      </x:c>
      <x:c r="C52" s="26" t="n">
        <x:f>AVERAGE(Raw_II!H52,Raw_IiZ!H52,Raw_iZI!H52,Raw_iZiZ!H52)</x:f>
        <x:v>0.0126953125</x:v>
      </x:c>
      <x:c r="D52" s="26" t="n">
        <x:f>AVERAGE(Raw_II!I52,Raw_IiZ!I52,Raw_iZI!I52,Raw_iZiZ!I52)</x:f>
        <x:v>0.005859375</x:v>
      </x:c>
      <x:c r="E52" s="26" t="n">
        <x:f>AVERAGE(Raw_II!J52,Raw_IiZ!J52,Raw_iZI!J52,Raw_iZiZ!J52)</x:f>
        <x:v>0.486328125</x:v>
      </x:c>
      <x:c r="F52" s="26" t="n">
        <x:f>0.5*(ABS(B52-0.5)+ABS(C52)+ABS(D52)+ABS(E52-0.5))</x:f>
        <x:v>0.0185546875</x:v>
      </x:c>
    </x:row>
    <x:row r="53">
      <x:c r="A53" t="n">
        <x:v>50</x:v>
      </x:c>
      <x:c r="B53" s="26" t="n">
        <x:f>AVERAGE(Raw_II!G53,Raw_IiZ!G53,Raw_iZI!G53,Raw_iZiZ!G53)</x:f>
        <x:v>0.49609375</x:v>
      </x:c>
      <x:c r="C53" s="26" t="n">
        <x:f>AVERAGE(Raw_II!H53,Raw_IiZ!H53,Raw_iZI!H53,Raw_iZiZ!H53)</x:f>
        <x:v>0.01171875</x:v>
      </x:c>
      <x:c r="D53" s="26" t="n">
        <x:f>AVERAGE(Raw_II!I53,Raw_IiZ!I53,Raw_iZI!I53,Raw_iZiZ!I53)</x:f>
        <x:v>0.0087890625</x:v>
      </x:c>
      <x:c r="E53" s="26" t="n">
        <x:f>AVERAGE(Raw_II!J53,Raw_IiZ!J53,Raw_iZI!J53,Raw_iZiZ!J53)</x:f>
        <x:v>0.4833984375</x:v>
      </x:c>
      <x:c r="F53" s="26" t="n">
        <x:f>0.5*(ABS(B53-0.5)+ABS(C53)+ABS(D53)+ABS(E53-0.5))</x:f>
        <x:v>0.0205078125</x:v>
      </x:c>
    </x:row>
    <x:row r="54">
      <x:c r="A54" t="n">
        <x:v>51</x:v>
      </x:c>
      <x:c r="B54" s="26" t="n">
        <x:f>AVERAGE(Raw_II!G54,Raw_IiZ!G54,Raw_iZI!G54,Raw_iZiZ!G54)</x:f>
        <x:v>0.4990234375</x:v>
      </x:c>
      <x:c r="C54" s="26" t="n">
        <x:f>AVERAGE(Raw_II!H54,Raw_IiZ!H54,Raw_iZI!H54,Raw_iZiZ!H54)</x:f>
        <x:v>0.009765625</x:v>
      </x:c>
      <x:c r="D54" s="26" t="n">
        <x:f>AVERAGE(Raw_II!I54,Raw_IiZ!I54,Raw_iZI!I54,Raw_iZiZ!I54)</x:f>
        <x:v>0.0078125</x:v>
      </x:c>
      <x:c r="E54" s="26" t="n">
        <x:f>AVERAGE(Raw_II!J54,Raw_IiZ!J54,Raw_iZI!J54,Raw_iZiZ!J54)</x:f>
        <x:v>0.4833984375</x:v>
      </x:c>
      <x:c r="F54" s="26" t="n">
        <x:f>0.5*(ABS(B54-0.5)+ABS(C54)+ABS(D54)+ABS(E54-0.5))</x:f>
        <x:v>0.017578125</x:v>
      </x:c>
    </x:row>
    <x:row r="55">
      <x:c r="A55" t="n">
        <x:v>52</x:v>
      </x:c>
      <x:c r="B55" s="26" t="n">
        <x:f>AVERAGE(Raw_II!G55,Raw_IiZ!G55,Raw_iZI!G55,Raw_iZiZ!G55)</x:f>
        <x:v>0.4951171875</x:v>
      </x:c>
      <x:c r="C55" s="26" t="n">
        <x:f>AVERAGE(Raw_II!H55,Raw_IiZ!H55,Raw_iZI!H55,Raw_iZiZ!H55)</x:f>
        <x:v>0.009765625</x:v>
      </x:c>
      <x:c r="D55" s="26" t="n">
        <x:f>AVERAGE(Raw_II!I55,Raw_IiZ!I55,Raw_iZI!I55,Raw_iZiZ!I55)</x:f>
        <x:v>0.0048828125</x:v>
      </x:c>
      <x:c r="E55" s="26" t="n">
        <x:f>AVERAGE(Raw_II!J55,Raw_IiZ!J55,Raw_iZI!J55,Raw_iZiZ!J55)</x:f>
        <x:v>0.490234375</x:v>
      </x:c>
      <x:c r="F55" s="26" t="n">
        <x:f>0.5*(ABS(B55-0.5)+ABS(C55)+ABS(D55)+ABS(E55-0.5))</x:f>
        <x:v>0.0146484375</x:v>
      </x:c>
    </x:row>
    <x:row r="56">
      <x:c r="A56" t="n">
        <x:v>53</x:v>
      </x:c>
      <x:c r="B56" s="26" t="n">
        <x:f>AVERAGE(Raw_II!G56,Raw_IiZ!G56,Raw_iZI!G56,Raw_iZiZ!G56)</x:f>
        <x:v>0.4970703125</x:v>
      </x:c>
      <x:c r="C56" s="26" t="n">
        <x:f>AVERAGE(Raw_II!H56,Raw_IiZ!H56,Raw_iZI!H56,Raw_iZiZ!H56)</x:f>
        <x:v>0.0126953125</x:v>
      </x:c>
      <x:c r="D56" s="26" t="n">
        <x:f>AVERAGE(Raw_II!I56,Raw_IiZ!I56,Raw_iZI!I56,Raw_iZiZ!I56)</x:f>
        <x:v>0.0087890625</x:v>
      </x:c>
      <x:c r="E56" s="26" t="n">
        <x:f>AVERAGE(Raw_II!J56,Raw_IiZ!J56,Raw_iZI!J56,Raw_iZiZ!J56)</x:f>
        <x:v>0.4814453125</x:v>
      </x:c>
      <x:c r="F56" s="26" t="n">
        <x:f>0.5*(ABS(B56-0.5)+ABS(C56)+ABS(D56)+ABS(E56-0.5))</x:f>
        <x:v>0.021484375</x:v>
      </x:c>
    </x:row>
    <x:row r="57">
      <x:c r="A57" t="n">
        <x:v>54</x:v>
      </x:c>
      <x:c r="B57" s="26" t="n">
        <x:f>AVERAGE(Raw_II!G57,Raw_IiZ!G57,Raw_iZI!G57,Raw_iZiZ!G57)</x:f>
        <x:v>0.5</x:v>
      </x:c>
      <x:c r="C57" s="26" t="n">
        <x:f>AVERAGE(Raw_II!H57,Raw_IiZ!H57,Raw_iZI!H57,Raw_iZiZ!H57)</x:f>
        <x:v>0.0146484375</x:v>
      </x:c>
      <x:c r="D57" s="26" t="n">
        <x:f>AVERAGE(Raw_II!I57,Raw_IiZ!I57,Raw_iZI!I57,Raw_iZiZ!I57)</x:f>
        <x:v>0.0048828125</x:v>
      </x:c>
      <x:c r="E57" s="26" t="n">
        <x:f>AVERAGE(Raw_II!J57,Raw_IiZ!J57,Raw_iZI!J57,Raw_iZiZ!J57)</x:f>
        <x:v>0.48046875</x:v>
      </x:c>
      <x:c r="F57" s="26" t="n">
        <x:f>0.5*(ABS(B57-0.5)+ABS(C57)+ABS(D57)+ABS(E57-0.5))</x:f>
        <x:v>0.01953125</x:v>
      </x:c>
    </x:row>
    <x:row r="58">
      <x:c r="A58" t="n">
        <x:v>55</x:v>
      </x:c>
      <x:c r="B58" s="26" t="n">
        <x:f>AVERAGE(Raw_II!G58,Raw_IiZ!G58,Raw_iZI!G58,Raw_iZiZ!G58)</x:f>
        <x:v>0.494140625</x:v>
      </x:c>
      <x:c r="C58" s="26" t="n">
        <x:f>AVERAGE(Raw_II!H58,Raw_IiZ!H58,Raw_iZI!H58,Raw_iZiZ!H58)</x:f>
        <x:v>0.015625</x:v>
      </x:c>
      <x:c r="D58" s="26" t="n">
        <x:f>AVERAGE(Raw_II!I58,Raw_IiZ!I58,Raw_iZI!I58,Raw_iZiZ!I58)</x:f>
        <x:v>0.01171875</x:v>
      </x:c>
      <x:c r="E58" s="26" t="n">
        <x:f>AVERAGE(Raw_II!J58,Raw_IiZ!J58,Raw_iZI!J58,Raw_iZiZ!J58)</x:f>
        <x:v>0.478515625</x:v>
      </x:c>
      <x:c r="F58" s="26" t="n">
        <x:f>0.5*(ABS(B58-0.5)+ABS(C58)+ABS(D58)+ABS(E58-0.5))</x:f>
        <x:v>0.02734375</x:v>
      </x:c>
    </x:row>
    <x:row r="59">
      <x:c r="A59" t="n">
        <x:v>56</x:v>
      </x:c>
      <x:c r="B59" s="26" t="n">
        <x:f>AVERAGE(Raw_II!G59,Raw_IiZ!G59,Raw_iZI!G59,Raw_iZiZ!G59)</x:f>
        <x:v>0.4990234375</x:v>
      </x:c>
      <x:c r="C59" s="26" t="n">
        <x:f>AVERAGE(Raw_II!H59,Raw_IiZ!H59,Raw_iZI!H59,Raw_iZiZ!H59)</x:f>
        <x:v>0.0126953125</x:v>
      </x:c>
      <x:c r="D59" s="26" t="n">
        <x:f>AVERAGE(Raw_II!I59,Raw_IiZ!I59,Raw_iZI!I59,Raw_iZiZ!I59)</x:f>
        <x:v>0.0087890625</x:v>
      </x:c>
      <x:c r="E59" s="26" t="n">
        <x:f>AVERAGE(Raw_II!J59,Raw_IiZ!J59,Raw_iZI!J59,Raw_iZiZ!J59)</x:f>
        <x:v>0.4794921875</x:v>
      </x:c>
      <x:c r="F59" s="26" t="n">
        <x:f>0.5*(ABS(B59-0.5)+ABS(C59)+ABS(D59)+ABS(E59-0.5))</x:f>
        <x:v>0.021484375</x:v>
      </x:c>
    </x:row>
    <x:row r="60">
      <x:c r="A60" t="n">
        <x:v>57</x:v>
      </x:c>
      <x:c r="B60" s="26" t="n">
        <x:f>AVERAGE(Raw_II!G60,Raw_IiZ!G60,Raw_iZI!G60,Raw_iZiZ!G60)</x:f>
        <x:v>0.4921875</x:v>
      </x:c>
      <x:c r="C60" s="26" t="n">
        <x:f>AVERAGE(Raw_II!H60,Raw_IiZ!H60,Raw_iZI!H60,Raw_iZiZ!H60)</x:f>
        <x:v>0.0146484375</x:v>
      </x:c>
      <x:c r="D60" s="26" t="n">
        <x:f>AVERAGE(Raw_II!I60,Raw_IiZ!I60,Raw_iZI!I60,Raw_iZiZ!I60)</x:f>
        <x:v>0.0107421875</x:v>
      </x:c>
      <x:c r="E60" s="26" t="n">
        <x:f>AVERAGE(Raw_II!J60,Raw_IiZ!J60,Raw_iZI!J60,Raw_iZiZ!J60)</x:f>
        <x:v>0.482421875</x:v>
      </x:c>
      <x:c r="F60" s="26" t="n">
        <x:f>0.5*(ABS(B60-0.5)+ABS(C60)+ABS(D60)+ABS(E60-0.5))</x:f>
        <x:v>0.025390625</x:v>
      </x:c>
    </x:row>
    <x:row r="61">
      <x:c r="A61" t="n">
        <x:v>58</x:v>
      </x:c>
      <x:c r="B61" s="26" t="n">
        <x:f>AVERAGE(Raw_II!G61,Raw_IiZ!G61,Raw_iZI!G61,Raw_iZiZ!G61)</x:f>
        <x:v>0.4951171875</x:v>
      </x:c>
      <x:c r="C61" s="26" t="n">
        <x:f>AVERAGE(Raw_II!H61,Raw_IiZ!H61,Raw_iZI!H61,Raw_iZiZ!H61)</x:f>
        <x:v>0.0126953125</x:v>
      </x:c>
      <x:c r="D61" s="26" t="n">
        <x:f>AVERAGE(Raw_II!I61,Raw_IiZ!I61,Raw_iZI!I61,Raw_iZiZ!I61)</x:f>
        <x:v>0.013671875</x:v>
      </x:c>
      <x:c r="E61" s="26" t="n">
        <x:f>AVERAGE(Raw_II!J61,Raw_IiZ!J61,Raw_iZI!J61,Raw_iZiZ!J61)</x:f>
        <x:v>0.478515625</x:v>
      </x:c>
      <x:c r="F61" s="26" t="n">
        <x:f>0.5*(ABS(B61-0.5)+ABS(C61)+ABS(D61)+ABS(E61-0.5))</x:f>
        <x:v>0.0263671875</x:v>
      </x:c>
    </x:row>
    <x:row r="62">
      <x:c r="A62" t="n">
        <x:v>59</x:v>
      </x:c>
      <x:c r="B62" s="26" t="n">
        <x:f>AVERAGE(Raw_II!G62,Raw_IiZ!G62,Raw_iZI!G62,Raw_iZiZ!G62)</x:f>
        <x:v>0.4931640625</x:v>
      </x:c>
      <x:c r="C62" s="26" t="n">
        <x:f>AVERAGE(Raw_II!H62,Raw_IiZ!H62,Raw_iZI!H62,Raw_iZiZ!H62)</x:f>
        <x:v>0.009765625</x:v>
      </x:c>
      <x:c r="D62" s="26" t="n">
        <x:f>AVERAGE(Raw_II!I62,Raw_IiZ!I62,Raw_iZI!I62,Raw_iZiZ!I62)</x:f>
        <x:v>0.0078125</x:v>
      </x:c>
      <x:c r="E62" s="26" t="n">
        <x:f>AVERAGE(Raw_II!J62,Raw_IiZ!J62,Raw_iZI!J62,Raw_iZiZ!J62)</x:f>
        <x:v>0.4892578125</x:v>
      </x:c>
      <x:c r="F62" s="26" t="n">
        <x:f>0.5*(ABS(B62-0.5)+ABS(C62)+ABS(D62)+ABS(E62-0.5))</x:f>
        <x:v>0.017578125</x:v>
      </x:c>
    </x:row>
    <x:row r="63">
      <x:c r="A63" t="n">
        <x:v>60</x:v>
      </x:c>
      <x:c r="B63" s="26" t="n">
        <x:f>AVERAGE(Raw_II!G63,Raw_IiZ!G63,Raw_iZI!G63,Raw_iZiZ!G63)</x:f>
        <x:v>0.498046875</x:v>
      </x:c>
      <x:c r="C63" s="26" t="n">
        <x:f>AVERAGE(Raw_II!H63,Raw_IiZ!H63,Raw_iZI!H63,Raw_iZiZ!H63)</x:f>
        <x:v>0.0087890625</x:v>
      </x:c>
      <x:c r="D63" s="26" t="n">
        <x:f>AVERAGE(Raw_II!I63,Raw_IiZ!I63,Raw_iZI!I63,Raw_iZiZ!I63)</x:f>
        <x:v>0.0078125</x:v>
      </x:c>
      <x:c r="E63" s="26" t="n">
        <x:f>AVERAGE(Raw_II!J63,Raw_IiZ!J63,Raw_iZI!J63,Raw_iZiZ!J63)</x:f>
        <x:v>0.4853515625</x:v>
      </x:c>
      <x:c r="F63" s="26" t="n">
        <x:f>0.5*(ABS(B63-0.5)+ABS(C63)+ABS(D63)+ABS(E63-0.5))</x:f>
        <x:v>0.0166015625</x:v>
      </x:c>
    </x:row>
    <x:row r="64">
      <x:c r="A64" t="n">
        <x:v>61</x:v>
      </x:c>
      <x:c r="B64" s="26" t="n">
        <x:f>AVERAGE(Raw_II!G64,Raw_IiZ!G64,Raw_iZI!G64,Raw_iZiZ!G64)</x:f>
        <x:v>0.4892578125</x:v>
      </x:c>
      <x:c r="C64" s="26" t="n">
        <x:f>AVERAGE(Raw_II!H64,Raw_IiZ!H64,Raw_iZI!H64,Raw_iZiZ!H64)</x:f>
        <x:v>0.01171875</x:v>
      </x:c>
      <x:c r="D64" s="26" t="n">
        <x:f>AVERAGE(Raw_II!I64,Raw_IiZ!I64,Raw_iZI!I64,Raw_iZiZ!I64)</x:f>
        <x:v>0.009765625</x:v>
      </x:c>
      <x:c r="E64" s="26" t="n">
        <x:f>AVERAGE(Raw_II!J64,Raw_IiZ!J64,Raw_iZI!J64,Raw_iZiZ!J64)</x:f>
        <x:v>0.4892578125</x:v>
      </x:c>
      <x:c r="F64" s="26" t="n">
        <x:f>0.5*(ABS(B64-0.5)+ABS(C64)+ABS(D64)+ABS(E64-0.5))</x:f>
        <x:v>0.021484375</x:v>
      </x:c>
    </x:row>
    <x:row r="65">
      <x:c r="A65" t="n">
        <x:v>62</x:v>
      </x:c>
      <x:c r="B65" s="26" t="n">
        <x:f>AVERAGE(Raw_II!G65,Raw_IiZ!G65,Raw_iZI!G65,Raw_iZiZ!G65)</x:f>
        <x:v>0.4931640625</x:v>
      </x:c>
      <x:c r="C65" s="26" t="n">
        <x:f>AVERAGE(Raw_II!H65,Raw_IiZ!H65,Raw_iZI!H65,Raw_iZiZ!H65)</x:f>
        <x:v>0.0126953125</x:v>
      </x:c>
      <x:c r="D65" s="26" t="n">
        <x:f>AVERAGE(Raw_II!I65,Raw_IiZ!I65,Raw_iZI!I65,Raw_iZiZ!I65)</x:f>
        <x:v>0.01171875</x:v>
      </x:c>
      <x:c r="E65" s="26" t="n">
        <x:f>AVERAGE(Raw_II!J65,Raw_IiZ!J65,Raw_iZI!J65,Raw_iZiZ!J65)</x:f>
        <x:v>0.482421875</x:v>
      </x:c>
      <x:c r="F65" s="26" t="n">
        <x:f>0.5*(ABS(B65-0.5)+ABS(C65)+ABS(D65)+ABS(E65-0.5))</x:f>
        <x:v>0.0244140625</x:v>
      </x:c>
    </x:row>
    <x:row r="66">
      <x:c r="A66" t="n">
        <x:v>63</x:v>
      </x:c>
      <x:c r="B66" s="26" t="n">
        <x:f>AVERAGE(Raw_II!G66,Raw_IiZ!G66,Raw_iZI!G66,Raw_iZiZ!G66)</x:f>
        <x:v>0.4951171875</x:v>
      </x:c>
      <x:c r="C66" s="26" t="n">
        <x:f>AVERAGE(Raw_II!H66,Raw_IiZ!H66,Raw_iZI!H66,Raw_iZiZ!H66)</x:f>
        <x:v>0.0126953125</x:v>
      </x:c>
      <x:c r="D66" s="26" t="n">
        <x:f>AVERAGE(Raw_II!I66,Raw_IiZ!I66,Raw_iZI!I66,Raw_iZiZ!I66)</x:f>
        <x:v>0.0126953125</x:v>
      </x:c>
      <x:c r="E66" s="26" t="n">
        <x:f>AVERAGE(Raw_II!J66,Raw_IiZ!J66,Raw_iZI!J66,Raw_iZiZ!J66)</x:f>
        <x:v>0.4794921875</x:v>
      </x:c>
      <x:c r="F66" s="26" t="n">
        <x:f>0.5*(ABS(B66-0.5)+ABS(C66)+ABS(D66)+ABS(E66-0.5))</x:f>
        <x:v>0.025390625</x:v>
      </x:c>
    </x:row>
    <x:row r="67">
      <x:c r="A67" t="n">
        <x:v>64</x:v>
      </x:c>
      <x:c r="B67" s="26" t="n">
        <x:f>AVERAGE(Raw_II!G67,Raw_IiZ!G67,Raw_iZI!G67,Raw_iZiZ!G67)</x:f>
        <x:v>0.4931640625</x:v>
      </x:c>
      <x:c r="C67" s="26" t="n">
        <x:f>AVERAGE(Raw_II!H67,Raw_IiZ!H67,Raw_iZI!H67,Raw_iZiZ!H67)</x:f>
        <x:v>0.015625</x:v>
      </x:c>
      <x:c r="D67" s="26" t="n">
        <x:f>AVERAGE(Raw_II!I67,Raw_IiZ!I67,Raw_iZI!I67,Raw_iZiZ!I67)</x:f>
        <x:v>0.001953125</x:v>
      </x:c>
      <x:c r="E67" s="26" t="n">
        <x:f>AVERAGE(Raw_II!J67,Raw_IiZ!J67,Raw_iZI!J67,Raw_iZiZ!J67)</x:f>
        <x:v>0.4892578125</x:v>
      </x:c>
      <x:c r="F67" s="26" t="n">
        <x:f>0.5*(ABS(B67-0.5)+ABS(C67)+ABS(D67)+ABS(E67-0.5))</x:f>
        <x:v>0.017578125</x:v>
      </x:c>
    </x:row>
    <x:row r="68">
      <x:c r="A68" t="n">
        <x:v>65</x:v>
      </x:c>
      <x:c r="B68" s="26" t="n">
        <x:f>AVERAGE(Raw_II!G68,Raw_IiZ!G68,Raw_iZI!G68,Raw_iZiZ!G68)</x:f>
        <x:v>0.49609375</x:v>
      </x:c>
      <x:c r="C68" s="26" t="n">
        <x:f>AVERAGE(Raw_II!H68,Raw_IiZ!H68,Raw_iZI!H68,Raw_iZiZ!H68)</x:f>
        <x:v>0.0078125</x:v>
      </x:c>
      <x:c r="D68" s="26" t="n">
        <x:f>AVERAGE(Raw_II!I68,Raw_IiZ!I68,Raw_iZI!I68,Raw_iZiZ!I68)</x:f>
        <x:v>0.0068359375</x:v>
      </x:c>
      <x:c r="E68" s="26" t="n">
        <x:f>AVERAGE(Raw_II!J68,Raw_IiZ!J68,Raw_iZI!J68,Raw_iZiZ!J68)</x:f>
        <x:v>0.4892578125</x:v>
      </x:c>
      <x:c r="F68" s="26" t="n">
        <x:f>0.5*(ABS(B68-0.5)+ABS(C68)+ABS(D68)+ABS(E68-0.5))</x:f>
        <x:v>0.0146484375</x:v>
      </x:c>
    </x:row>
    <x:row r="69">
      <x:c r="A69" t="n">
        <x:v>66</x:v>
      </x:c>
      <x:c r="B69" s="26" t="n">
        <x:f>AVERAGE(Raw_II!G69,Raw_IiZ!G69,Raw_iZI!G69,Raw_iZiZ!G69)</x:f>
        <x:v>0.4970703125</x:v>
      </x:c>
      <x:c r="C69" s="26" t="n">
        <x:f>AVERAGE(Raw_II!H69,Raw_IiZ!H69,Raw_iZI!H69,Raw_iZiZ!H69)</x:f>
        <x:v>0.0029296875</x:v>
      </x:c>
      <x:c r="D69" s="26" t="n">
        <x:f>AVERAGE(Raw_II!I69,Raw_IiZ!I69,Raw_iZI!I69,Raw_iZiZ!I69)</x:f>
        <x:v>0.0126953125</x:v>
      </x:c>
      <x:c r="E69" s="26" t="n">
        <x:f>AVERAGE(Raw_II!J69,Raw_IiZ!J69,Raw_iZI!J69,Raw_iZiZ!J69)</x:f>
        <x:v>0.4873046875</x:v>
      </x:c>
      <x:c r="F69" s="26" t="n">
        <x:f>0.5*(ABS(B69-0.5)+ABS(C69)+ABS(D69)+ABS(E69-0.5))</x:f>
        <x:v>0.015625</x:v>
      </x:c>
    </x:row>
    <x:row r="70">
      <x:c r="A70" t="n">
        <x:v>67</x:v>
      </x:c>
      <x:c r="B70" s="26" t="n">
        <x:f>AVERAGE(Raw_II!G70,Raw_IiZ!G70,Raw_iZI!G70,Raw_iZiZ!G70)</x:f>
        <x:v>0.4990234375</x:v>
      </x:c>
      <x:c r="C70" s="26" t="n">
        <x:f>AVERAGE(Raw_II!H70,Raw_IiZ!H70,Raw_iZI!H70,Raw_iZiZ!H70)</x:f>
        <x:v>0.013671875</x:v>
      </x:c>
      <x:c r="D70" s="26" t="n">
        <x:f>AVERAGE(Raw_II!I70,Raw_IiZ!I70,Raw_iZI!I70,Raw_iZiZ!I70)</x:f>
        <x:v>0.0087890625</x:v>
      </x:c>
      <x:c r="E70" s="26" t="n">
        <x:f>AVERAGE(Raw_II!J70,Raw_IiZ!J70,Raw_iZI!J70,Raw_iZiZ!J70)</x:f>
        <x:v>0.478515625</x:v>
      </x:c>
      <x:c r="F70" s="26" t="n">
        <x:f>0.5*(ABS(B70-0.5)+ABS(C70)+ABS(D70)+ABS(E70-0.5))</x:f>
        <x:v>0.0224609375</x:v>
      </x:c>
    </x:row>
    <x:row r="71">
      <x:c r="A71" t="n">
        <x:v>68</x:v>
      </x:c>
      <x:c r="B71" s="26" t="n">
        <x:f>AVERAGE(Raw_II!G71,Raw_IiZ!G71,Raw_iZI!G71,Raw_iZiZ!G71)</x:f>
        <x:v>0.4892578125</x:v>
      </x:c>
      <x:c r="C71" s="26" t="n">
        <x:f>AVERAGE(Raw_II!H71,Raw_IiZ!H71,Raw_iZI!H71,Raw_iZiZ!H71)</x:f>
        <x:v>0.017578125</x:v>
      </x:c>
      <x:c r="D71" s="26" t="n">
        <x:f>AVERAGE(Raw_II!I71,Raw_IiZ!I71,Raw_iZI!I71,Raw_iZiZ!I71)</x:f>
        <x:v>0.005859375</x:v>
      </x:c>
      <x:c r="E71" s="26" t="n">
        <x:f>AVERAGE(Raw_II!J71,Raw_IiZ!J71,Raw_iZI!J71,Raw_iZiZ!J71)</x:f>
        <x:v>0.4873046875</x:v>
      </x:c>
      <x:c r="F71" s="26" t="n">
        <x:f>0.5*(ABS(B71-0.5)+ABS(C71)+ABS(D71)+ABS(E71-0.5))</x:f>
        <x:v>0.0234375</x:v>
      </x:c>
    </x:row>
    <x:row r="72">
      <x:c r="A72" t="n">
        <x:v>69</x:v>
      </x:c>
      <x:c r="B72" s="26" t="n">
        <x:f>AVERAGE(Raw_II!G72,Raw_IiZ!G72,Raw_iZI!G72,Raw_iZiZ!G72)</x:f>
        <x:v>0.4931640625</x:v>
      </x:c>
      <x:c r="C72" s="26" t="n">
        <x:f>AVERAGE(Raw_II!H72,Raw_IiZ!H72,Raw_iZI!H72,Raw_iZiZ!H72)</x:f>
        <x:v>0.0146484375</x:v>
      </x:c>
      <x:c r="D72" s="26" t="n">
        <x:f>AVERAGE(Raw_II!I72,Raw_IiZ!I72,Raw_iZI!I72,Raw_iZiZ!I72)</x:f>
        <x:v>0.00390625</x:v>
      </x:c>
      <x:c r="E72" s="26" t="n">
        <x:f>AVERAGE(Raw_II!J72,Raw_IiZ!J72,Raw_iZI!J72,Raw_iZiZ!J72)</x:f>
        <x:v>0.48828125</x:v>
      </x:c>
      <x:c r="F72" s="26" t="n">
        <x:f>0.5*(ABS(B72-0.5)+ABS(C72)+ABS(D72)+ABS(E72-0.5))</x:f>
        <x:v>0.0185546875</x:v>
      </x:c>
    </x:row>
    <x:row r="73">
      <x:c r="A73" t="n">
        <x:v>70</x:v>
      </x:c>
      <x:c r="B73" s="26" t="n">
        <x:f>AVERAGE(Raw_II!G73,Raw_IiZ!G73,Raw_iZI!G73,Raw_iZiZ!G73)</x:f>
        <x:v>0.4970703125</x:v>
      </x:c>
      <x:c r="C73" s="26" t="n">
        <x:f>AVERAGE(Raw_II!H73,Raw_IiZ!H73,Raw_iZI!H73,Raw_iZiZ!H73)</x:f>
        <x:v>0.013671875</x:v>
      </x:c>
      <x:c r="D73" s="26" t="n">
        <x:f>AVERAGE(Raw_II!I73,Raw_IiZ!I73,Raw_iZI!I73,Raw_iZiZ!I73)</x:f>
        <x:v>0.0087890625</x:v>
      </x:c>
      <x:c r="E73" s="26" t="n">
        <x:f>AVERAGE(Raw_II!J73,Raw_IiZ!J73,Raw_iZI!J73,Raw_iZiZ!J73)</x:f>
        <x:v>0.48046875</x:v>
      </x:c>
      <x:c r="F73" s="26" t="n">
        <x:f>0.5*(ABS(B73-0.5)+ABS(C73)+ABS(D73)+ABS(E73-0.5))</x:f>
        <x:v>0.0224609375</x:v>
      </x:c>
    </x:row>
    <x:row r="74">
      <x:c r="A74" t="n">
        <x:v>71</x:v>
      </x:c>
      <x:c r="B74" s="26" t="n">
        <x:f>AVERAGE(Raw_II!G74,Raw_IiZ!G74,Raw_iZI!G74,Raw_iZiZ!G74)</x:f>
        <x:v>0.4921875</x:v>
      </x:c>
      <x:c r="C74" s="26" t="n">
        <x:f>AVERAGE(Raw_II!H74,Raw_IiZ!H74,Raw_iZI!H74,Raw_iZiZ!H74)</x:f>
        <x:v>0.01953125</x:v>
      </x:c>
      <x:c r="D74" s="26" t="n">
        <x:f>AVERAGE(Raw_II!I74,Raw_IiZ!I74,Raw_iZI!I74,Raw_iZiZ!I74)</x:f>
        <x:v>0.0087890625</x:v>
      </x:c>
      <x:c r="E74" s="26" t="n">
        <x:f>AVERAGE(Raw_II!J74,Raw_IiZ!J74,Raw_iZI!J74,Raw_iZiZ!J74)</x:f>
        <x:v>0.4794921875</x:v>
      </x:c>
      <x:c r="F74" s="26" t="n">
        <x:f>0.5*(ABS(B74-0.5)+ABS(C74)+ABS(D74)+ABS(E74-0.5))</x:f>
        <x:v>0.0283203125</x:v>
      </x:c>
    </x:row>
    <x:row r="75">
      <x:c r="A75" t="n">
        <x:v>72</x:v>
      </x:c>
      <x:c r="B75" s="26" t="n">
        <x:f>AVERAGE(Raw_II!G75,Raw_IiZ!G75,Raw_iZI!G75,Raw_iZiZ!G75)</x:f>
        <x:v>0.5</x:v>
      </x:c>
      <x:c r="C75" s="26" t="n">
        <x:f>AVERAGE(Raw_II!H75,Raw_IiZ!H75,Raw_iZI!H75,Raw_iZiZ!H75)</x:f>
        <x:v>0.0126953125</x:v>
      </x:c>
      <x:c r="D75" s="26" t="n">
        <x:f>AVERAGE(Raw_II!I75,Raw_IiZ!I75,Raw_iZI!I75,Raw_iZiZ!I75)</x:f>
        <x:v>0.0029296875</x:v>
      </x:c>
      <x:c r="E75" s="26" t="n">
        <x:f>AVERAGE(Raw_II!J75,Raw_IiZ!J75,Raw_iZI!J75,Raw_iZiZ!J75)</x:f>
        <x:v>0.484375</x:v>
      </x:c>
      <x:c r="F75" s="26" t="n">
        <x:f>0.5*(ABS(B75-0.5)+ABS(C75)+ABS(D75)+ABS(E75-0.5))</x:f>
        <x:v>0.015625</x:v>
      </x:c>
    </x:row>
    <x:row r="76">
      <x:c r="A76" t="n">
        <x:v>73</x:v>
      </x:c>
      <x:c r="B76" s="26" t="n">
        <x:f>AVERAGE(Raw_II!G76,Raw_IiZ!G76,Raw_iZI!G76,Raw_iZiZ!G76)</x:f>
        <x:v>0.49609375</x:v>
      </x:c>
      <x:c r="C76" s="26" t="n">
        <x:f>AVERAGE(Raw_II!H76,Raw_IiZ!H76,Raw_iZI!H76,Raw_iZiZ!H76)</x:f>
        <x:v>0.01171875</x:v>
      </x:c>
      <x:c r="D76" s="26" t="n">
        <x:f>AVERAGE(Raw_II!I76,Raw_IiZ!I76,Raw_iZI!I76,Raw_iZiZ!I76)</x:f>
        <x:v>0.0068359375</x:v>
      </x:c>
      <x:c r="E76" s="26" t="n">
        <x:f>AVERAGE(Raw_II!J76,Raw_IiZ!J76,Raw_iZI!J76,Raw_iZiZ!J76)</x:f>
        <x:v>0.4853515625</x:v>
      </x:c>
      <x:c r="F76" s="26" t="n">
        <x:f>0.5*(ABS(B76-0.5)+ABS(C76)+ABS(D76)+ABS(E76-0.5))</x:f>
        <x:v>0.0185546875</x:v>
      </x:c>
    </x:row>
    <x:row r="77">
      <x:c r="A77" t="n">
        <x:v>74</x:v>
      </x:c>
      <x:c r="B77" s="26" t="n">
        <x:f>AVERAGE(Raw_II!G77,Raw_IiZ!G77,Raw_iZI!G77,Raw_iZiZ!G77)</x:f>
        <x:v>0.4951171875</x:v>
      </x:c>
      <x:c r="C77" s="26" t="n">
        <x:f>AVERAGE(Raw_II!H77,Raw_IiZ!H77,Raw_iZI!H77,Raw_iZiZ!H77)</x:f>
        <x:v>0.009765625</x:v>
      </x:c>
      <x:c r="D77" s="26" t="n">
        <x:f>AVERAGE(Raw_II!I77,Raw_IiZ!I77,Raw_iZI!I77,Raw_iZiZ!I77)</x:f>
        <x:v>0.0078125</x:v>
      </x:c>
      <x:c r="E77" s="26" t="n">
        <x:f>AVERAGE(Raw_II!J77,Raw_IiZ!J77,Raw_iZI!J77,Raw_iZiZ!J77)</x:f>
        <x:v>0.4873046875</x:v>
      </x:c>
      <x:c r="F77" s="26" t="n">
        <x:f>0.5*(ABS(B77-0.5)+ABS(C77)+ABS(D77)+ABS(E77-0.5))</x:f>
        <x:v>0.017578125</x:v>
      </x:c>
    </x:row>
    <x:row r="78">
      <x:c r="A78" t="n">
        <x:v>75</x:v>
      </x:c>
      <x:c r="B78" s="26" t="n">
        <x:f>AVERAGE(Raw_II!G78,Raw_IiZ!G78,Raw_iZI!G78,Raw_iZiZ!G78)</x:f>
        <x:v>0.4892578125</x:v>
      </x:c>
      <x:c r="C78" s="26" t="n">
        <x:f>AVERAGE(Raw_II!H78,Raw_IiZ!H78,Raw_iZI!H78,Raw_iZiZ!H78)</x:f>
        <x:v>0.0146484375</x:v>
      </x:c>
      <x:c r="D78" s="26" t="n">
        <x:f>AVERAGE(Raw_II!I78,Raw_IiZ!I78,Raw_iZI!I78,Raw_iZiZ!I78)</x:f>
        <x:v>0.0078125</x:v>
      </x:c>
      <x:c r="E78" s="26" t="n">
        <x:f>AVERAGE(Raw_II!J78,Raw_IiZ!J78,Raw_iZI!J78,Raw_iZiZ!J78)</x:f>
        <x:v>0.48828125</x:v>
      </x:c>
      <x:c r="F78" s="26" t="n">
        <x:f>0.5*(ABS(B78-0.5)+ABS(C78)+ABS(D78)+ABS(E78-0.5))</x:f>
        <x:v>0.0224609375</x:v>
      </x:c>
    </x:row>
    <x:row r="79">
      <x:c r="A79" t="n">
        <x:v>76</x:v>
      </x:c>
      <x:c r="B79" s="26" t="n">
        <x:f>AVERAGE(Raw_II!G79,Raw_IiZ!G79,Raw_iZI!G79,Raw_iZiZ!G79)</x:f>
        <x:v>0.4912109375</x:v>
      </x:c>
      <x:c r="C79" s="26" t="n">
        <x:f>AVERAGE(Raw_II!H79,Raw_IiZ!H79,Raw_iZI!H79,Raw_iZiZ!H79)</x:f>
        <x:v>0.0126953125</x:v>
      </x:c>
      <x:c r="D79" s="26" t="n">
        <x:f>AVERAGE(Raw_II!I79,Raw_IiZ!I79,Raw_iZI!I79,Raw_iZiZ!I79)</x:f>
        <x:v>0.0087890625</x:v>
      </x:c>
      <x:c r="E79" s="26" t="n">
        <x:f>AVERAGE(Raw_II!J79,Raw_IiZ!J79,Raw_iZI!J79,Raw_iZiZ!J79)</x:f>
        <x:v>0.4873046875</x:v>
      </x:c>
      <x:c r="F79" s="26" t="n">
        <x:f>0.5*(ABS(B79-0.5)+ABS(C79)+ABS(D79)+ABS(E79-0.5))</x:f>
        <x:v>0.021484375</x:v>
      </x:c>
    </x:row>
    <x:row r="80">
      <x:c r="A80" t="n">
        <x:v>77</x:v>
      </x:c>
      <x:c r="B80" s="26" t="n">
        <x:f>AVERAGE(Raw_II!G80,Raw_IiZ!G80,Raw_iZI!G80,Raw_iZiZ!G80)</x:f>
        <x:v>0.4970703125</x:v>
      </x:c>
      <x:c r="C80" s="26" t="n">
        <x:f>AVERAGE(Raw_II!H80,Raw_IiZ!H80,Raw_iZI!H80,Raw_iZiZ!H80)</x:f>
        <x:v>0.01171875</x:v>
      </x:c>
      <x:c r="D80" s="26" t="n">
        <x:f>AVERAGE(Raw_II!I80,Raw_IiZ!I80,Raw_iZI!I80,Raw_iZiZ!I80)</x:f>
        <x:v>0.01171875</x:v>
      </x:c>
      <x:c r="E80" s="26" t="n">
        <x:f>AVERAGE(Raw_II!J80,Raw_IiZ!J80,Raw_iZI!J80,Raw_iZiZ!J80)</x:f>
        <x:v>0.4794921875</x:v>
      </x:c>
      <x:c r="F80" s="26" t="n">
        <x:f>0.5*(ABS(B80-0.5)+ABS(C80)+ABS(D80)+ABS(E80-0.5))</x:f>
        <x:v>0.0234375</x:v>
      </x:c>
    </x:row>
    <x:row r="81">
      <x:c r="A81" t="n">
        <x:v>78</x:v>
      </x:c>
      <x:c r="B81" s="26" t="n">
        <x:f>AVERAGE(Raw_II!G81,Raw_IiZ!G81,Raw_iZI!G81,Raw_iZiZ!G81)</x:f>
        <x:v>0.4970703125</x:v>
      </x:c>
      <x:c r="C81" s="26" t="n">
        <x:f>AVERAGE(Raw_II!H81,Raw_IiZ!H81,Raw_iZI!H81,Raw_iZiZ!H81)</x:f>
        <x:v>0.013671875</x:v>
      </x:c>
      <x:c r="D81" s="26" t="n">
        <x:f>AVERAGE(Raw_II!I81,Raw_IiZ!I81,Raw_iZI!I81,Raw_iZiZ!I81)</x:f>
        <x:v>0.009765625</x:v>
      </x:c>
      <x:c r="E81" s="26" t="n">
        <x:f>AVERAGE(Raw_II!J81,Raw_IiZ!J81,Raw_iZI!J81,Raw_iZiZ!J81)</x:f>
        <x:v>0.4794921875</x:v>
      </x:c>
      <x:c r="F81" s="26" t="n">
        <x:f>0.5*(ABS(B81-0.5)+ABS(C81)+ABS(D81)+ABS(E81-0.5))</x:f>
        <x:v>0.0234375</x:v>
      </x:c>
    </x:row>
    <x:row r="82">
      <x:c r="A82" t="n">
        <x:v>79</x:v>
      </x:c>
      <x:c r="B82" s="26" t="n">
        <x:f>AVERAGE(Raw_II!G82,Raw_IiZ!G82,Raw_iZI!G82,Raw_iZiZ!G82)</x:f>
        <x:v>0.4970703125</x:v>
      </x:c>
      <x:c r="C82" s="26" t="n">
        <x:f>AVERAGE(Raw_II!H82,Raw_IiZ!H82,Raw_iZI!H82,Raw_iZiZ!H82)</x:f>
        <x:v>0.0107421875</x:v>
      </x:c>
      <x:c r="D82" s="26" t="n">
        <x:f>AVERAGE(Raw_II!I82,Raw_IiZ!I82,Raw_iZI!I82,Raw_iZiZ!I82)</x:f>
        <x:v>0.009765625</x:v>
      </x:c>
      <x:c r="E82" s="26" t="n">
        <x:f>AVERAGE(Raw_II!J82,Raw_IiZ!J82,Raw_iZI!J82,Raw_iZiZ!J82)</x:f>
        <x:v>0.482421875</x:v>
      </x:c>
      <x:c r="F82" s="26" t="n">
        <x:f>0.5*(ABS(B82-0.5)+ABS(C82)+ABS(D82)+ABS(E82-0.5))</x:f>
        <x:v>0.0205078125</x:v>
      </x:c>
    </x:row>
    <x:row r="83">
      <x:c r="A83" t="n">
        <x:v>80</x:v>
      </x:c>
      <x:c r="B83" s="26" t="n">
        <x:f>AVERAGE(Raw_II!G83,Raw_IiZ!G83,Raw_iZI!G83,Raw_iZiZ!G83)</x:f>
        <x:v>0.4912109375</x:v>
      </x:c>
      <x:c r="C83" s="26" t="n">
        <x:f>AVERAGE(Raw_II!H83,Raw_IiZ!H83,Raw_iZI!H83,Raw_iZiZ!H83)</x:f>
        <x:v>0.0166015625</x:v>
      </x:c>
      <x:c r="D83" s="26" t="n">
        <x:f>AVERAGE(Raw_II!I83,Raw_IiZ!I83,Raw_iZI!I83,Raw_iZiZ!I83)</x:f>
        <x:v>0.009765625</x:v>
      </x:c>
      <x:c r="E83" s="26" t="n">
        <x:f>AVERAGE(Raw_II!J83,Raw_IiZ!J83,Raw_iZI!J83,Raw_iZiZ!J83)</x:f>
        <x:v>0.482421875</x:v>
      </x:c>
      <x:c r="F83" s="26" t="n">
        <x:f>0.5*(ABS(B83-0.5)+ABS(C83)+ABS(D83)+ABS(E83-0.5))</x:f>
        <x:v>0.0263671875</x:v>
      </x:c>
    </x:row>
    <x:row r="84">
      <x:c r="A84" t="n">
        <x:v>81</x:v>
      </x:c>
      <x:c r="B84" s="26" t="n">
        <x:f>AVERAGE(Raw_II!G84,Raw_IiZ!G84,Raw_iZI!G84,Raw_iZiZ!G84)</x:f>
        <x:v>0.4921875</x:v>
      </x:c>
      <x:c r="C84" s="26" t="n">
        <x:f>AVERAGE(Raw_II!H84,Raw_IiZ!H84,Raw_iZI!H84,Raw_iZiZ!H84)</x:f>
        <x:v>0.0146484375</x:v>
      </x:c>
      <x:c r="D84" s="26" t="n">
        <x:f>AVERAGE(Raw_II!I84,Raw_IiZ!I84,Raw_iZI!I84,Raw_iZiZ!I84)</x:f>
        <x:v>0.013671875</x:v>
      </x:c>
      <x:c r="E84" s="26" t="n">
        <x:f>AVERAGE(Raw_II!J84,Raw_IiZ!J84,Raw_iZI!J84,Raw_iZiZ!J84)</x:f>
        <x:v>0.4794921875</x:v>
      </x:c>
      <x:c r="F84" s="26" t="n">
        <x:f>0.5*(ABS(B84-0.5)+ABS(C84)+ABS(D84)+ABS(E84-0.5))</x:f>
        <x:v>0.0283203125</x:v>
      </x:c>
    </x:row>
    <x:row r="85">
      <x:c r="A85" t="n">
        <x:v>82</x:v>
      </x:c>
      <x:c r="B85" s="26" t="n">
        <x:f>AVERAGE(Raw_II!G85,Raw_IiZ!G85,Raw_iZI!G85,Raw_iZiZ!G85)</x:f>
        <x:v>0.4990234375</x:v>
      </x:c>
      <x:c r="C85" s="26" t="n">
        <x:f>AVERAGE(Raw_II!H85,Raw_IiZ!H85,Raw_iZI!H85,Raw_iZiZ!H85)</x:f>
        <x:v>0.0078125</x:v>
      </x:c>
      <x:c r="D85" s="26" t="n">
        <x:f>AVERAGE(Raw_II!I85,Raw_IiZ!I85,Raw_iZI!I85,Raw_iZiZ!I85)</x:f>
        <x:v>0.0087890625</x:v>
      </x:c>
      <x:c r="E85" s="26" t="n">
        <x:f>AVERAGE(Raw_II!J85,Raw_IiZ!J85,Raw_iZI!J85,Raw_iZiZ!J85)</x:f>
        <x:v>0.484375</x:v>
      </x:c>
      <x:c r="F85" s="26" t="n">
        <x:f>0.5*(ABS(B85-0.5)+ABS(C85)+ABS(D85)+ABS(E85-0.5))</x:f>
        <x:v>0.0166015625</x:v>
      </x:c>
    </x:row>
    <x:row r="86">
      <x:c r="A86" t="n">
        <x:v>83</x:v>
      </x:c>
      <x:c r="B86" s="26" t="n">
        <x:f>AVERAGE(Raw_II!G86,Raw_IiZ!G86,Raw_iZI!G86,Raw_iZiZ!G86)</x:f>
        <x:v>0.4921875</x:v>
      </x:c>
      <x:c r="C86" s="26" t="n">
        <x:f>AVERAGE(Raw_II!H86,Raw_IiZ!H86,Raw_iZI!H86,Raw_iZiZ!H86)</x:f>
        <x:v>0.0126953125</x:v>
      </x:c>
      <x:c r="D86" s="26" t="n">
        <x:f>AVERAGE(Raw_II!I86,Raw_IiZ!I86,Raw_iZI!I86,Raw_iZiZ!I86)</x:f>
        <x:v>0.0107421875</x:v>
      </x:c>
      <x:c r="E86" s="26" t="n">
        <x:f>AVERAGE(Raw_II!J86,Raw_IiZ!J86,Raw_iZI!J86,Raw_iZiZ!J86)</x:f>
        <x:v>0.484375</x:v>
      </x:c>
      <x:c r="F86" s="26" t="n">
        <x:f>0.5*(ABS(B86-0.5)+ABS(C86)+ABS(D86)+ABS(E86-0.5))</x:f>
        <x:v>0.0234375</x:v>
      </x:c>
    </x:row>
    <x:row r="87">
      <x:c r="A87" t="n">
        <x:v>84</x:v>
      </x:c>
      <x:c r="B87" s="26" t="n">
        <x:f>AVERAGE(Raw_II!G87,Raw_IiZ!G87,Raw_iZI!G87,Raw_iZiZ!G87)</x:f>
        <x:v>0.4912109375</x:v>
      </x:c>
      <x:c r="C87" s="26" t="n">
        <x:f>AVERAGE(Raw_II!H87,Raw_IiZ!H87,Raw_iZI!H87,Raw_iZiZ!H87)</x:f>
        <x:v>0.01171875</x:v>
      </x:c>
      <x:c r="D87" s="26" t="n">
        <x:f>AVERAGE(Raw_II!I87,Raw_IiZ!I87,Raw_iZI!I87,Raw_iZiZ!I87)</x:f>
        <x:v>0.01171875</x:v>
      </x:c>
      <x:c r="E87" s="26" t="n">
        <x:f>AVERAGE(Raw_II!J87,Raw_IiZ!J87,Raw_iZI!J87,Raw_iZiZ!J87)</x:f>
        <x:v>0.4853515625</x:v>
      </x:c>
      <x:c r="F87" s="26" t="n">
        <x:f>0.5*(ABS(B87-0.5)+ABS(C87)+ABS(D87)+ABS(E87-0.5))</x:f>
        <x:v>0.0234375</x:v>
      </x:c>
    </x:row>
    <x:row r="88">
      <x:c r="A88" t="n">
        <x:v>85</x:v>
      </x:c>
      <x:c r="B88" s="26" t="n">
        <x:f>AVERAGE(Raw_II!G88,Raw_IiZ!G88,Raw_iZI!G88,Raw_iZiZ!G88)</x:f>
        <x:v>0.4921875</x:v>
      </x:c>
      <x:c r="C88" s="26" t="n">
        <x:f>AVERAGE(Raw_II!H88,Raw_IiZ!H88,Raw_iZI!H88,Raw_iZiZ!H88)</x:f>
        <x:v>0.0166015625</x:v>
      </x:c>
      <x:c r="D88" s="26" t="n">
        <x:f>AVERAGE(Raw_II!I88,Raw_IiZ!I88,Raw_iZI!I88,Raw_iZiZ!I88)</x:f>
        <x:v>0.0078125</x:v>
      </x:c>
      <x:c r="E88" s="26" t="n">
        <x:f>AVERAGE(Raw_II!J88,Raw_IiZ!J88,Raw_iZI!J88,Raw_iZiZ!J88)</x:f>
        <x:v>0.4833984375</x:v>
      </x:c>
      <x:c r="F88" s="26" t="n">
        <x:f>0.5*(ABS(B88-0.5)+ABS(C88)+ABS(D88)+ABS(E88-0.5))</x:f>
        <x:v>0.0244140625</x:v>
      </x:c>
    </x:row>
    <x:row r="89">
      <x:c r="A89" t="n">
        <x:v>86</x:v>
      </x:c>
      <x:c r="B89" s="26" t="n">
        <x:f>AVERAGE(Raw_II!G89,Raw_IiZ!G89,Raw_iZI!G89,Raw_iZiZ!G89)</x:f>
        <x:v>0.4912109375</x:v>
      </x:c>
      <x:c r="C89" s="26" t="n">
        <x:f>AVERAGE(Raw_II!H89,Raw_IiZ!H89,Raw_iZI!H89,Raw_iZiZ!H89)</x:f>
        <x:v>0.013671875</x:v>
      </x:c>
      <x:c r="D89" s="26" t="n">
        <x:f>AVERAGE(Raw_II!I89,Raw_IiZ!I89,Raw_iZI!I89,Raw_iZiZ!I89)</x:f>
        <x:v>0.0126953125</x:v>
      </x:c>
      <x:c r="E89" s="26" t="n">
        <x:f>AVERAGE(Raw_II!J89,Raw_IiZ!J89,Raw_iZI!J89,Raw_iZiZ!J89)</x:f>
        <x:v>0.482421875</x:v>
      </x:c>
      <x:c r="F89" s="26" t="n">
        <x:f>0.5*(ABS(B89-0.5)+ABS(C89)+ABS(D89)+ABS(E89-0.5))</x:f>
        <x:v>0.0263671875</x:v>
      </x:c>
    </x:row>
    <x:row r="90">
      <x:c r="A90" t="n">
        <x:v>87</x:v>
      </x:c>
      <x:c r="B90" s="26" t="n">
        <x:f>AVERAGE(Raw_II!G90,Raw_IiZ!G90,Raw_iZI!G90,Raw_iZiZ!G90)</x:f>
        <x:v>0.4951171875</x:v>
      </x:c>
      <x:c r="C90" s="26" t="n">
        <x:f>AVERAGE(Raw_II!H90,Raw_IiZ!H90,Raw_iZI!H90,Raw_iZiZ!H90)</x:f>
        <x:v>0.0146484375</x:v>
      </x:c>
      <x:c r="D90" s="26" t="n">
        <x:f>AVERAGE(Raw_II!I90,Raw_IiZ!I90,Raw_iZI!I90,Raw_iZiZ!I90)</x:f>
        <x:v>0.013671875</x:v>
      </x:c>
      <x:c r="E90" s="26" t="n">
        <x:f>AVERAGE(Raw_II!J90,Raw_IiZ!J90,Raw_iZI!J90,Raw_iZiZ!J90)</x:f>
        <x:v>0.4765625</x:v>
      </x:c>
      <x:c r="F90" s="26" t="n">
        <x:f>0.5*(ABS(B90-0.5)+ABS(C90)+ABS(D90)+ABS(E90-0.5))</x:f>
        <x:v>0.0283203125</x:v>
      </x:c>
    </x:row>
    <x:row r="91">
      <x:c r="A91" t="n">
        <x:v>88</x:v>
      </x:c>
      <x:c r="B91" s="26" t="n">
        <x:f>AVERAGE(Raw_II!G91,Raw_IiZ!G91,Raw_iZI!G91,Raw_iZiZ!G91)</x:f>
        <x:v>0.494140625</x:v>
      </x:c>
      <x:c r="C91" s="26" t="n">
        <x:f>AVERAGE(Raw_II!H91,Raw_IiZ!H91,Raw_iZI!H91,Raw_iZiZ!H91)</x:f>
        <x:v>0.0126953125</x:v>
      </x:c>
      <x:c r="D91" s="26" t="n">
        <x:f>AVERAGE(Raw_II!I91,Raw_IiZ!I91,Raw_iZI!I91,Raw_iZiZ!I91)</x:f>
        <x:v>0.0146484375</x:v>
      </x:c>
      <x:c r="E91" s="26" t="n">
        <x:f>AVERAGE(Raw_II!J91,Raw_IiZ!J91,Raw_iZI!J91,Raw_iZiZ!J91)</x:f>
        <x:v>0.478515625</x:v>
      </x:c>
      <x:c r="F91" s="26" t="n">
        <x:f>0.5*(ABS(B91-0.5)+ABS(C91)+ABS(D91)+ABS(E91-0.5))</x:f>
        <x:v>0.02734375</x:v>
      </x:c>
    </x:row>
    <x:row r="92">
      <x:c r="A92" t="n">
        <x:v>89</x:v>
      </x:c>
      <x:c r="B92" s="26" t="n">
        <x:f>AVERAGE(Raw_II!G92,Raw_IiZ!G92,Raw_iZI!G92,Raw_iZiZ!G92)</x:f>
        <x:v>0.4951171875</x:v>
      </x:c>
      <x:c r="C92" s="26" t="n">
        <x:f>AVERAGE(Raw_II!H92,Raw_IiZ!H92,Raw_iZI!H92,Raw_iZiZ!H92)</x:f>
        <x:v>0.0078125</x:v>
      </x:c>
      <x:c r="D92" s="26" t="n">
        <x:f>AVERAGE(Raw_II!I92,Raw_IiZ!I92,Raw_iZI!I92,Raw_iZiZ!I92)</x:f>
        <x:v>0.0126953125</x:v>
      </x:c>
      <x:c r="E92" s="26" t="n">
        <x:f>AVERAGE(Raw_II!J92,Raw_IiZ!J92,Raw_iZI!J92,Raw_iZiZ!J92)</x:f>
        <x:v>0.484375</x:v>
      </x:c>
      <x:c r="F92" s="26" t="n">
        <x:f>0.5*(ABS(B92-0.5)+ABS(C92)+ABS(D92)+ABS(E92-0.5))</x:f>
        <x:v>0.0205078125</x:v>
      </x:c>
    </x:row>
    <x:row r="93">
      <x:c r="A93" t="n">
        <x:v>90</x:v>
      </x:c>
      <x:c r="B93" s="26" t="n">
        <x:f>AVERAGE(Raw_II!G93,Raw_IiZ!G93,Raw_iZI!G93,Raw_iZiZ!G93)</x:f>
        <x:v>0.494140625</x:v>
      </x:c>
      <x:c r="C93" s="26" t="n">
        <x:f>AVERAGE(Raw_II!H93,Raw_IiZ!H93,Raw_iZI!H93,Raw_iZiZ!H93)</x:f>
        <x:v>0.01171875</x:v>
      </x:c>
      <x:c r="D93" s="26" t="n">
        <x:f>AVERAGE(Raw_II!I93,Raw_IiZ!I93,Raw_iZI!I93,Raw_iZiZ!I93)</x:f>
        <x:v>0.0087890625</x:v>
      </x:c>
      <x:c r="E93" s="26" t="n">
        <x:f>AVERAGE(Raw_II!J93,Raw_IiZ!J93,Raw_iZI!J93,Raw_iZiZ!J93)</x:f>
        <x:v>0.4853515625</x:v>
      </x:c>
      <x:c r="F93" s="26" t="n">
        <x:f>0.5*(ABS(B93-0.5)+ABS(C93)+ABS(D93)+ABS(E93-0.5))</x:f>
        <x:v>0.0205078125</x:v>
      </x:c>
    </x:row>
    <x:row r="94">
      <x:c r="A94" t="n">
        <x:v>91</x:v>
      </x:c>
      <x:c r="B94" s="26" t="n">
        <x:f>AVERAGE(Raw_II!G94,Raw_IiZ!G94,Raw_iZI!G94,Raw_iZiZ!G94)</x:f>
        <x:v>0.49609375</x:v>
      </x:c>
      <x:c r="C94" s="26" t="n">
        <x:f>AVERAGE(Raw_II!H94,Raw_IiZ!H94,Raw_iZI!H94,Raw_iZiZ!H94)</x:f>
        <x:v>0.009765625</x:v>
      </x:c>
      <x:c r="D94" s="26" t="n">
        <x:f>AVERAGE(Raw_II!I94,Raw_IiZ!I94,Raw_iZI!I94,Raw_iZiZ!I94)</x:f>
        <x:v>0.0107421875</x:v>
      </x:c>
      <x:c r="E94" s="26" t="n">
        <x:f>AVERAGE(Raw_II!J94,Raw_IiZ!J94,Raw_iZI!J94,Raw_iZiZ!J94)</x:f>
        <x:v>0.4833984375</x:v>
      </x:c>
      <x:c r="F94" s="26" t="n">
        <x:f>0.5*(ABS(B94-0.5)+ABS(C94)+ABS(D94)+ABS(E94-0.5))</x:f>
        <x:v>0.0205078125</x:v>
      </x:c>
    </x:row>
    <x:row r="95">
      <x:c r="A95" t="n">
        <x:v>92</x:v>
      </x:c>
      <x:c r="B95" s="26" t="n">
        <x:f>AVERAGE(Raw_II!G95,Raw_IiZ!G95,Raw_iZI!G95,Raw_iZiZ!G95)</x:f>
        <x:v>0.4921875</x:v>
      </x:c>
      <x:c r="C95" s="26" t="n">
        <x:f>AVERAGE(Raw_II!H95,Raw_IiZ!H95,Raw_iZI!H95,Raw_iZiZ!H95)</x:f>
        <x:v>0.0126953125</x:v>
      </x:c>
      <x:c r="D95" s="26" t="n">
        <x:f>AVERAGE(Raw_II!I95,Raw_IiZ!I95,Raw_iZI!I95,Raw_iZiZ!I95)</x:f>
        <x:v>0.009765625</x:v>
      </x:c>
      <x:c r="E95" s="26" t="n">
        <x:f>AVERAGE(Raw_II!J95,Raw_IiZ!J95,Raw_iZI!J95,Raw_iZiZ!J95)</x:f>
        <x:v>0.4853515625</x:v>
      </x:c>
      <x:c r="F95" s="26" t="n">
        <x:f>0.5*(ABS(B95-0.5)+ABS(C95)+ABS(D95)+ABS(E95-0.5))</x:f>
        <x:v>0.0224609375</x:v>
      </x:c>
    </x:row>
    <x:row r="96">
      <x:c r="A96" t="n">
        <x:v>93</x:v>
      </x:c>
      <x:c r="B96" s="26" t="n">
        <x:f>AVERAGE(Raw_II!G96,Raw_IiZ!G96,Raw_iZI!G96,Raw_iZiZ!G96)</x:f>
        <x:v>0.4951171875</x:v>
      </x:c>
      <x:c r="C96" s="26" t="n">
        <x:f>AVERAGE(Raw_II!H96,Raw_IiZ!H96,Raw_iZI!H96,Raw_iZiZ!H96)</x:f>
        <x:v>0.0146484375</x:v>
      </x:c>
      <x:c r="D96" s="26" t="n">
        <x:f>AVERAGE(Raw_II!I96,Raw_IiZ!I96,Raw_iZI!I96,Raw_iZiZ!I96)</x:f>
        <x:v>0.0048828125</x:v>
      </x:c>
      <x:c r="E96" s="26" t="n">
        <x:f>AVERAGE(Raw_II!J96,Raw_IiZ!J96,Raw_iZI!J96,Raw_iZiZ!J96)</x:f>
        <x:v>0.4853515625</x:v>
      </x:c>
      <x:c r="F96" s="26" t="n">
        <x:f>0.5*(ABS(B96-0.5)+ABS(C96)+ABS(D96)+ABS(E96-0.5))</x:f>
        <x:v>0.01953125</x:v>
      </x:c>
    </x:row>
    <x:row r="97">
      <x:c r="A97" t="n">
        <x:v>94</x:v>
      </x:c>
      <x:c r="B97" s="26" t="n">
        <x:f>AVERAGE(Raw_II!G97,Raw_IiZ!G97,Raw_iZI!G97,Raw_iZiZ!G97)</x:f>
        <x:v>0.4970703125</x:v>
      </x:c>
      <x:c r="C97" s="26" t="n">
        <x:f>AVERAGE(Raw_II!H97,Raw_IiZ!H97,Raw_iZI!H97,Raw_iZiZ!H97)</x:f>
        <x:v>0.005859375</x:v>
      </x:c>
      <x:c r="D97" s="26" t="n">
        <x:f>AVERAGE(Raw_II!I97,Raw_IiZ!I97,Raw_iZI!I97,Raw_iZiZ!I97)</x:f>
        <x:v>0.0087890625</x:v>
      </x:c>
      <x:c r="E97" s="26" t="n">
        <x:f>AVERAGE(Raw_II!J97,Raw_IiZ!J97,Raw_iZI!J97,Raw_iZiZ!J97)</x:f>
        <x:v>0.48828125</x:v>
      </x:c>
      <x:c r="F97" s="26" t="n">
        <x:f>0.5*(ABS(B97-0.5)+ABS(C97)+ABS(D97)+ABS(E97-0.5))</x:f>
        <x:v>0.0146484375</x:v>
      </x:c>
    </x:row>
    <x:row r="98">
      <x:c r="A98" t="n">
        <x:v>95</x:v>
      </x:c>
      <x:c r="B98" s="26" t="n">
        <x:f>AVERAGE(Raw_II!G98,Raw_IiZ!G98,Raw_iZI!G98,Raw_iZiZ!G98)</x:f>
        <x:v>0.4931640625</x:v>
      </x:c>
      <x:c r="C98" s="26" t="n">
        <x:f>AVERAGE(Raw_II!H98,Raw_IiZ!H98,Raw_iZI!H98,Raw_iZiZ!H98)</x:f>
        <x:v>0.0126953125</x:v>
      </x:c>
      <x:c r="D98" s="26" t="n">
        <x:f>AVERAGE(Raw_II!I98,Raw_IiZ!I98,Raw_iZI!I98,Raw_iZiZ!I98)</x:f>
        <x:v>0.0048828125</x:v>
      </x:c>
      <x:c r="E98" s="26" t="n">
        <x:f>AVERAGE(Raw_II!J98,Raw_IiZ!J98,Raw_iZI!J98,Raw_iZiZ!J98)</x:f>
        <x:v>0.4892578125</x:v>
      </x:c>
      <x:c r="F98" s="26" t="n">
        <x:f>0.5*(ABS(B98-0.5)+ABS(C98)+ABS(D98)+ABS(E98-0.5))</x:f>
        <x:v>0.017578125</x:v>
      </x:c>
    </x:row>
    <x:row r="99">
      <x:c r="A99" t="n">
        <x:v>96</x:v>
      </x:c>
      <x:c r="B99" s="26" t="n">
        <x:f>AVERAGE(Raw_II!G99,Raw_IiZ!G99,Raw_iZI!G99,Raw_iZiZ!G99)</x:f>
        <x:v>0.498046875</x:v>
      </x:c>
      <x:c r="C99" s="26" t="n">
        <x:f>AVERAGE(Raw_II!H99,Raw_IiZ!H99,Raw_iZI!H99,Raw_iZiZ!H99)</x:f>
        <x:v>0.0126953125</x:v>
      </x:c>
      <x:c r="D99" s="26" t="n">
        <x:f>AVERAGE(Raw_II!I99,Raw_IiZ!I99,Raw_iZI!I99,Raw_iZiZ!I99)</x:f>
        <x:v>0.0078125</x:v>
      </x:c>
      <x:c r="E99" s="26" t="n">
        <x:f>AVERAGE(Raw_II!J99,Raw_IiZ!J99,Raw_iZI!J99,Raw_iZiZ!J99)</x:f>
        <x:v>0.4814453125</x:v>
      </x:c>
      <x:c r="F99" s="26" t="n">
        <x:f>0.5*(ABS(B99-0.5)+ABS(C99)+ABS(D99)+ABS(E99-0.5))</x:f>
        <x:v>0.0205078125</x:v>
      </x:c>
    </x:row>
    <x:row r="100">
      <x:c r="A100" t="n">
        <x:v>97</x:v>
      </x:c>
      <x:c r="B100" s="26" t="n">
        <x:f>AVERAGE(Raw_II!G100,Raw_IiZ!G100,Raw_iZI!G100,Raw_iZiZ!G100)</x:f>
        <x:v>0.494140625</x:v>
      </x:c>
      <x:c r="C100" s="26" t="n">
        <x:f>AVERAGE(Raw_II!H100,Raw_IiZ!H100,Raw_iZI!H100,Raw_iZiZ!H100)</x:f>
        <x:v>0.0107421875</x:v>
      </x:c>
      <x:c r="D100" s="26" t="n">
        <x:f>AVERAGE(Raw_II!I100,Raw_IiZ!I100,Raw_iZI!I100,Raw_iZiZ!I100)</x:f>
        <x:v>0.0107421875</x:v>
      </x:c>
      <x:c r="E100" s="26" t="n">
        <x:f>AVERAGE(Raw_II!J100,Raw_IiZ!J100,Raw_iZI!J100,Raw_iZiZ!J100)</x:f>
        <x:v>0.484375</x:v>
      </x:c>
      <x:c r="F100" s="26" t="n">
        <x:f>0.5*(ABS(B100-0.5)+ABS(C100)+ABS(D100)+ABS(E100-0.5))</x:f>
        <x:v>0.021484375</x:v>
      </x:c>
    </x:row>
    <x:row r="101">
      <x:c r="A101" t="n">
        <x:v>98</x:v>
      </x:c>
      <x:c r="B101" s="26" t="n">
        <x:f>AVERAGE(Raw_II!G101,Raw_IiZ!G101,Raw_iZI!G101,Raw_iZiZ!G101)</x:f>
        <x:v>0.4970703125</x:v>
      </x:c>
      <x:c r="C101" s="26" t="n">
        <x:f>AVERAGE(Raw_II!H101,Raw_IiZ!H101,Raw_iZI!H101,Raw_iZiZ!H101)</x:f>
        <x:v>0.01171875</x:v>
      </x:c>
      <x:c r="D101" s="26" t="n">
        <x:f>AVERAGE(Raw_II!I101,Raw_IiZ!I101,Raw_iZI!I101,Raw_iZiZ!I101)</x:f>
        <x:v>0.0087890625</x:v>
      </x:c>
      <x:c r="E101" s="26" t="n">
        <x:f>AVERAGE(Raw_II!J101,Raw_IiZ!J101,Raw_iZI!J101,Raw_iZiZ!J101)</x:f>
        <x:v>0.482421875</x:v>
      </x:c>
      <x:c r="F101" s="26" t="n">
        <x:f>0.5*(ABS(B101-0.5)+ABS(C101)+ABS(D101)+ABS(E101-0.5))</x:f>
        <x:v>0.0205078125</x:v>
      </x:c>
    </x:row>
    <x:row r="102">
      <x:c r="A102" t="n">
        <x:v>99</x:v>
      </x:c>
      <x:c r="B102" s="26" t="n">
        <x:f>AVERAGE(Raw_II!G102,Raw_IiZ!G102,Raw_iZI!G102,Raw_iZiZ!G102)</x:f>
        <x:v>0.4951171875</x:v>
      </x:c>
      <x:c r="C102" s="26" t="n">
        <x:f>AVERAGE(Raw_II!H102,Raw_IiZ!H102,Raw_iZI!H102,Raw_iZiZ!H102)</x:f>
        <x:v>0.0185546875</x:v>
      </x:c>
      <x:c r="D102" s="26" t="n">
        <x:f>AVERAGE(Raw_II!I102,Raw_IiZ!I102,Raw_iZI!I102,Raw_iZiZ!I102)</x:f>
        <x:v>0.0107421875</x:v>
      </x:c>
      <x:c r="E102" s="26" t="n">
        <x:f>AVERAGE(Raw_II!J102,Raw_IiZ!J102,Raw_iZI!J102,Raw_iZiZ!J102)</x:f>
        <x:v>0.4755859375</x:v>
      </x:c>
      <x:c r="F102" s="26" t="n">
        <x:f>0.5*(ABS(B102-0.5)+ABS(C102)+ABS(D102)+ABS(E102-0.5))</x:f>
        <x:v>0.029296875</x:v>
      </x:c>
    </x:row>
    <x:row r="103">
      <x:c r="A103" t="n">
        <x:v>100</x:v>
      </x:c>
      <x:c r="B103" s="26" t="n">
        <x:f>AVERAGE(Raw_II!G103,Raw_IiZ!G103,Raw_iZI!G103,Raw_iZiZ!G103)</x:f>
        <x:v>0.490234375</x:v>
      </x:c>
      <x:c r="C103" s="26" t="n">
        <x:f>AVERAGE(Raw_II!H103,Raw_IiZ!H103,Raw_iZI!H103,Raw_iZiZ!H103)</x:f>
        <x:v>0.0126953125</x:v>
      </x:c>
      <x:c r="D103" s="26" t="n">
        <x:f>AVERAGE(Raw_II!I103,Raw_IiZ!I103,Raw_iZI!I103,Raw_iZiZ!I103)</x:f>
        <x:v>0.0126953125</x:v>
      </x:c>
      <x:c r="E103" s="26" t="n">
        <x:f>AVERAGE(Raw_II!J103,Raw_IiZ!J103,Raw_iZI!J103,Raw_iZiZ!J103)</x:f>
        <x:v>0.484375</x:v>
      </x:c>
      <x:c r="F103" s="26" t="n">
        <x:f>0.5*(ABS(B103-0.5)+ABS(C103)+ABS(D103)+ABS(E103-0.5))</x:f>
        <x:v>0.025390625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28" hidden="0" customWidth="1"/>
    <x:col min="4" max="4" width="28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1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5" t="str">
        <x:v>Numerical source data underlying Figure 4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3">
      <x:c r="A3" s="15" t="str">
        <x:v>panel</x:v>
      </x:c>
      <x:c r="B3" s="15" t="str">
        <x:v>run</x:v>
      </x:c>
      <x:c r="C3" s="15" t="str">
        <x:v>case</x:v>
      </x:c>
      <x:c r="D3" s="15" t="str">
        <x:v>implementation</x:v>
      </x:c>
      <x:c r="E3" s="15" t="str">
        <x:v>s1</x:v>
      </x:c>
      <x:c r="F3" s="15" t="str">
        <x:v>s2</x:v>
      </x:c>
      <x:c r="G3" s="15" t="str">
        <x:v>s3</x:v>
      </x:c>
      <x:c r="H3" s="15" t="str">
        <x:v>s4</x:v>
      </x:c>
      <x:c r="I3" s="15" t="str">
        <x:v>alpha</x:v>
      </x:c>
      <x:c r="J3" s="15" t="str">
        <x:v>p00</x:v>
      </x:c>
      <x:c r="K3" s="15" t="str">
        <x:v>p01</x:v>
      </x:c>
      <x:c r="L3" s="15" t="str">
        <x:v>p10</x:v>
      </x:c>
      <x:c r="M3" s="15" t="str">
        <x:v>p11</x:v>
      </x:c>
      <x:c r="N3" s="15" t="str">
        <x:v>theory_u1</x:v>
      </x:c>
      <x:c r="O3" s="15" t="str">
        <x:v>theory_u2</x:v>
      </x:c>
      <x:c r="P3" s="15" t="str">
        <x:v>measured_u1</x:v>
      </x:c>
      <x:c r="Q3" s="15" t="str">
        <x:v>measured_u2</x:v>
      </x:c>
      <x:c r="R3" s="15" t="str">
        <x:v>common_payoff</x:v>
      </x:c>
      <x:c r="S3" s="15" t="str">
        <x:v>payoff_asymmetry</x:v>
      </x:c>
      <x:c r="T3" s="15" t="str">
        <x:v>squared_distance_to_theory</x:v>
      </x:c>
    </x:row>
    <x:row r="4">
      <x:c r="A4" t="str">
        <x:v>A</x:v>
      </x:c>
      <x:c r="B4" t="n">
        <x:v>1</x:v>
      </x:c>
      <x:c r="C4" t="str">
        <x:v>Case 1a (BoS), pure</x:v>
      </x:c>
      <x:c r="D4" t="str">
        <x:v>pure</x:v>
      </x:c>
      <x:c r="E4" s="26" t="n">
        <x:v>0.25</x:v>
      </x:c>
      <x:c r="F4" s="26" t="n">
        <x:v>0.6</x:v>
      </x:c>
      <x:c r="G4" s="26" t="n">
        <x:v>1</x:v>
      </x:c>
      <x:c r="H4" s="26" t="n">
        <x:v>0</x:v>
      </x:c>
      <x:c r="I4" t="str">
        <x:v>pi/4</x:v>
      </x:c>
      <x:c r="J4" s="26" t="n">
        <x:f>Raw_pure!G4</x:f>
        <x:v>0.01171875</x:v>
      </x:c>
      <x:c r="K4" s="26" t="n">
        <x:f>Raw_pure!H4</x:f>
        <x:v>0.4892578125</x:v>
      </x:c>
      <x:c r="L4" s="26" t="n">
        <x:f>Raw_pure!I4</x:f>
        <x:v>0.4931640625</x:v>
      </x:c>
      <x:c r="M4" s="26" t="n">
        <x:f>Raw_pure!J4</x:f>
        <x:v>0.005859375</x:v>
      </x:c>
      <x:c r="N4" s="26" t="n">
        <x:v>0.8</x:v>
      </x:c>
      <x:c r="O4" s="26" t="n">
        <x:v>0.8</x:v>
      </x:c>
      <x:c r="P4" s="26" t="n">
        <x:f>J4*E4+K4*F4+L4*G4+M4*H4</x:f>
        <x:v>0.7896484374999999</x:v>
      </x:c>
      <x:c r="Q4" s="26" t="n">
        <x:f>J4*E4+K4*G4+L4*F4+M4*H4</x:f>
        <x:v>0.7880859375</x:v>
      </x:c>
      <x:c r="R4" s="26" t="n">
        <x:f>(P4+Q4)/2</x:f>
        <x:v>0.7888671875</x:v>
      </x:c>
      <x:c r="S4" s="26" t="n">
        <x:f>P4-Q4</x:f>
        <x:v>0.0015624999999999112</x:v>
      </x:c>
      <x:c r="T4" s="26" t="n">
        <x:f>(P4-N4)^2+(Q4-O4)^2</x:f>
        <x:v>0.00024909973144531634</x:v>
      </x:c>
    </x:row>
    <x:row r="5">
      <x:c r="A5" t="str">
        <x:v>A</x:v>
      </x:c>
      <x:c r="B5" t="n">
        <x:v>2</x:v>
      </x:c>
      <x:c r="C5" t="str">
        <x:v>Case 1a (BoS), pure</x:v>
      </x:c>
      <x:c r="D5" t="str">
        <x:v>pure</x:v>
      </x:c>
      <x:c r="E5" s="26" t="n">
        <x:v>0.25</x:v>
      </x:c>
      <x:c r="F5" s="26" t="n">
        <x:v>0.6</x:v>
      </x:c>
      <x:c r="G5" s="26" t="n">
        <x:v>1</x:v>
      </x:c>
      <x:c r="H5" s="26" t="n">
        <x:v>0</x:v>
      </x:c>
      <x:c r="I5" t="str">
        <x:v>pi/4</x:v>
      </x:c>
      <x:c r="J5" s="26" t="n">
        <x:f>Raw_pure!G5</x:f>
        <x:v>0.0087890625</x:v>
      </x:c>
      <x:c r="K5" s="26" t="n">
        <x:f>Raw_pure!H5</x:f>
        <x:v>0.5107421875</x:v>
      </x:c>
      <x:c r="L5" s="26" t="n">
        <x:f>Raw_pure!I5</x:f>
        <x:v>0.4755859375</x:v>
      </x:c>
      <x:c r="M5" s="26" t="n">
        <x:f>Raw_pure!J5</x:f>
        <x:v>0.0048828125</x:v>
      </x:c>
      <x:c r="N5" s="26" t="n">
        <x:v>0.8</x:v>
      </x:c>
      <x:c r="O5" s="26" t="n">
        <x:v>0.8</x:v>
      </x:c>
      <x:c r="P5" s="26" t="n">
        <x:f>J5*E5+K5*F5+L5*G5+M5*H5</x:f>
        <x:v>0.784228515625</x:v>
      </x:c>
      <x:c r="Q5" s="26" t="n">
        <x:f>J5*E5+K5*G5+L5*F5+M5*H5</x:f>
        <x:v>0.798291015625</x:v>
      </x:c>
      <x:c r="R5" s="26" t="n">
        <x:f>(P5+Q5)/2</x:f>
        <x:v>0.791259765625</x:v>
      </x:c>
      <x:c r="S5" s="26" t="n">
        <x:f>P5-Q5</x:f>
        <x:v>-0.014062500000000089</x:v>
      </x:c>
      <x:c r="T5" s="26" t="n">
        <x:f>(P5-N5)^2+(Q5-O5)^2</x:f>
        <x:v>0.0002516603469848661</x:v>
      </x:c>
    </x:row>
    <x:row r="6">
      <x:c r="A6" t="str">
        <x:v>A</x:v>
      </x:c>
      <x:c r="B6" t="n">
        <x:v>3</x:v>
      </x:c>
      <x:c r="C6" t="str">
        <x:v>Case 1a (BoS), pure</x:v>
      </x:c>
      <x:c r="D6" t="str">
        <x:v>pure</x:v>
      </x:c>
      <x:c r="E6" s="26" t="n">
        <x:v>0.25</x:v>
      </x:c>
      <x:c r="F6" s="26" t="n">
        <x:v>0.6</x:v>
      </x:c>
      <x:c r="G6" s="26" t="n">
        <x:v>1</x:v>
      </x:c>
      <x:c r="H6" s="26" t="n">
        <x:v>0</x:v>
      </x:c>
      <x:c r="I6" t="str">
        <x:v>pi/4</x:v>
      </x:c>
      <x:c r="J6" s="26" t="n">
        <x:f>Raw_pure!G6</x:f>
        <x:v>0.0087890625</x:v>
      </x:c>
      <x:c r="K6" s="26" t="n">
        <x:f>Raw_pure!H6</x:f>
        <x:v>0.4853515625</x:v>
      </x:c>
      <x:c r="L6" s="26" t="n">
        <x:f>Raw_pure!I6</x:f>
        <x:v>0.5</x:v>
      </x:c>
      <x:c r="M6" s="26" t="n">
        <x:f>Raw_pure!J6</x:f>
        <x:v>0.005859375</x:v>
      </x:c>
      <x:c r="N6" s="26" t="n">
        <x:v>0.8</x:v>
      </x:c>
      <x:c r="O6" s="26" t="n">
        <x:v>0.8</x:v>
      </x:c>
      <x:c r="P6" s="26" t="n">
        <x:f>J6*E6+K6*F6+L6*G6+M6*H6</x:f>
        <x:v>0.793408203125</x:v>
      </x:c>
      <x:c r="Q6" s="26" t="n">
        <x:f>J6*E6+K6*G6+L6*F6+M6*H6</x:f>
        <x:v>0.787548828125</x:v>
      </x:c>
      <x:c r="R6" s="26" t="n">
        <x:f>(P6+Q6)/2</x:f>
        <x:v>0.790478515625</x:v>
      </x:c>
      <x:c r="S6" s="26" t="n">
        <x:f>P6-Q6</x:f>
        <x:v>0.005859375</x:v>
      </x:c>
      <x:c r="T6" s="26" t="n">
        <x:f>(P6-N6)^2+(Q6-O6)^2</x:f>
        <x:v>0.00019848346710205078</x:v>
      </x:c>
    </x:row>
    <x:row r="7">
      <x:c r="A7" t="str">
        <x:v>A</x:v>
      </x:c>
      <x:c r="B7" t="n">
        <x:v>4</x:v>
      </x:c>
      <x:c r="C7" t="str">
        <x:v>Case 1a (BoS), pure</x:v>
      </x:c>
      <x:c r="D7" t="str">
        <x:v>pure</x:v>
      </x:c>
      <x:c r="E7" s="26" t="n">
        <x:v>0.25</x:v>
      </x:c>
      <x:c r="F7" s="26" t="n">
        <x:v>0.6</x:v>
      </x:c>
      <x:c r="G7" s="26" t="n">
        <x:v>1</x:v>
      </x:c>
      <x:c r="H7" s="26" t="n">
        <x:v>0</x:v>
      </x:c>
      <x:c r="I7" t="str">
        <x:v>pi/4</x:v>
      </x:c>
      <x:c r="J7" s="26" t="n">
        <x:f>Raw_pure!G7</x:f>
        <x:v>0.009765625</x:v>
      </x:c>
      <x:c r="K7" s="26" t="n">
        <x:f>Raw_pure!H7</x:f>
        <x:v>0.48046875</x:v>
      </x:c>
      <x:c r="L7" s="26" t="n">
        <x:f>Raw_pure!I7</x:f>
        <x:v>0.50390625</x:v>
      </x:c>
      <x:c r="M7" s="26" t="n">
        <x:f>Raw_pure!J7</x:f>
        <x:v>0.005859375</x:v>
      </x:c>
      <x:c r="N7" s="26" t="n">
        <x:v>0.8</x:v>
      </x:c>
      <x:c r="O7" s="26" t="n">
        <x:v>0.8</x:v>
      </x:c>
      <x:c r="P7" s="26" t="n">
        <x:f>J7*E7+K7*F7+L7*G7+M7*H7</x:f>
        <x:v>0.79462890625</x:v>
      </x:c>
      <x:c r="Q7" s="26" t="n">
        <x:f>J7*E7+K7*G7+L7*F7+M7*H7</x:f>
        <x:v>0.7852539062499999</x:v>
      </x:c>
      <x:c r="R7" s="26" t="n">
        <x:f>(P7+Q7)/2</x:f>
        <x:v>0.78994140625</x:v>
      </x:c>
      <x:c r="S7" s="26" t="n">
        <x:f>P7-Q7</x:f>
        <x:v>0.009375000000000133</x:v>
      </x:c>
      <x:c r="T7" s="26" t="n">
        <x:f>(P7-N7)^2+(Q7-O7)^2</x:f>
        <x:v>0.000246295928955082</x:v>
      </x:c>
    </x:row>
    <x:row r="8">
      <x:c r="A8" t="str">
        <x:v>A</x:v>
      </x:c>
      <x:c r="B8" t="n">
        <x:v>5</x:v>
      </x:c>
      <x:c r="C8" t="str">
        <x:v>Case 1a (BoS), pure</x:v>
      </x:c>
      <x:c r="D8" t="str">
        <x:v>pure</x:v>
      </x:c>
      <x:c r="E8" s="26" t="n">
        <x:v>0.25</x:v>
      </x:c>
      <x:c r="F8" s="26" t="n">
        <x:v>0.6</x:v>
      </x:c>
      <x:c r="G8" s="26" t="n">
        <x:v>1</x:v>
      </x:c>
      <x:c r="H8" s="26" t="n">
        <x:v>0</x:v>
      </x:c>
      <x:c r="I8" t="str">
        <x:v>pi/4</x:v>
      </x:c>
      <x:c r="J8" s="26" t="n">
        <x:f>Raw_pure!G8</x:f>
        <x:v>0.0107421875</x:v>
      </x:c>
      <x:c r="K8" s="26" t="n">
        <x:f>Raw_pure!H8</x:f>
        <x:v>0.4951171875</x:v>
      </x:c>
      <x:c r="L8" s="26" t="n">
        <x:f>Raw_pure!I8</x:f>
        <x:v>0.4833984375</x:v>
      </x:c>
      <x:c r="M8" s="26" t="n">
        <x:f>Raw_pure!J8</x:f>
        <x:v>0.0107421875</x:v>
      </x:c>
      <x:c r="N8" s="26" t="n">
        <x:v>0.8</x:v>
      </x:c>
      <x:c r="O8" s="26" t="n">
        <x:v>0.8</x:v>
      </x:c>
      <x:c r="P8" s="26" t="n">
        <x:f>J8*E8+K8*F8+L8*G8+M8*H8</x:f>
        <x:v>0.783154296875</x:v>
      </x:c>
      <x:c r="Q8" s="26" t="n">
        <x:f>J8*E8+K8*G8+L8*F8+M8*H8</x:f>
        <x:v>0.787841796875</x:v>
      </x:c>
      <x:c r="R8" s="26" t="n">
        <x:f>(P8+Q8)/2</x:f>
        <x:v>0.785498046875</x:v>
      </x:c>
      <x:c r="S8" s="26" t="n">
        <x:f>P8-Q8</x:f>
        <x:v>-0.004687499999999956</x:v>
      </x:c>
      <x:c r="T8" s="26" t="n">
        <x:f>(P8-N8)^2+(Q8-O8)^2</x:f>
        <x:v>0.0004315996170043956</x:v>
      </x:c>
    </x:row>
    <x:row r="9">
      <x:c r="A9" t="str">
        <x:v>A</x:v>
      </x:c>
      <x:c r="B9" t="n">
        <x:v>6</x:v>
      </x:c>
      <x:c r="C9" t="str">
        <x:v>Case 1a (BoS), pure</x:v>
      </x:c>
      <x:c r="D9" t="str">
        <x:v>pure</x:v>
      </x:c>
      <x:c r="E9" s="26" t="n">
        <x:v>0.25</x:v>
      </x:c>
      <x:c r="F9" s="26" t="n">
        <x:v>0.6</x:v>
      </x:c>
      <x:c r="G9" s="26" t="n">
        <x:v>1</x:v>
      </x:c>
      <x:c r="H9" s="26" t="n">
        <x:v>0</x:v>
      </x:c>
      <x:c r="I9" t="str">
        <x:v>pi/4</x:v>
      </x:c>
      <x:c r="J9" s="26" t="n">
        <x:f>Raw_pure!G9</x:f>
        <x:v>0.009765625</x:v>
      </x:c>
      <x:c r="K9" s="26" t="n">
        <x:f>Raw_pure!H9</x:f>
        <x:v>0.509765625</x:v>
      </x:c>
      <x:c r="L9" s="26" t="n">
        <x:f>Raw_pure!I9</x:f>
        <x:v>0.470703125</x:v>
      </x:c>
      <x:c r="M9" s="26" t="n">
        <x:f>Raw_pure!J9</x:f>
        <x:v>0.009765625</x:v>
      </x:c>
      <x:c r="N9" s="26" t="n">
        <x:v>0.8</x:v>
      </x:c>
      <x:c r="O9" s="26" t="n">
        <x:v>0.8</x:v>
      </x:c>
      <x:c r="P9" s="26" t="n">
        <x:f>J9*E9+K9*F9+L9*G9+M9*H9</x:f>
        <x:v>0.77900390625</x:v>
      </x:c>
      <x:c r="Q9" s="26" t="n">
        <x:f>J9*E9+K9*G9+L9*F9+M9*H9</x:f>
        <x:v>0.79462890625</x:v>
      </x:c>
      <x:c r="R9" s="26" t="n">
        <x:f>(P9+Q9)/2</x:f>
        <x:v>0.78681640625</x:v>
      </x:c>
      <x:c r="S9" s="26" t="n">
        <x:f>P9-Q9</x:f>
        <x:v>-0.015625</x:v>
      </x:c>
      <x:c r="T9" s="26" t="n">
        <x:f>(P9-N9)^2+(Q9-O9)^2</x:f>
        <x:v>0.0004696846008300781</x:v>
      </x:c>
    </x:row>
    <x:row r="10">
      <x:c r="A10" t="str">
        <x:v>A</x:v>
      </x:c>
      <x:c r="B10" t="n">
        <x:v>7</x:v>
      </x:c>
      <x:c r="C10" t="str">
        <x:v>Case 1a (BoS), pure</x:v>
      </x:c>
      <x:c r="D10" t="str">
        <x:v>pure</x:v>
      </x:c>
      <x:c r="E10" s="26" t="n">
        <x:v>0.25</x:v>
      </x:c>
      <x:c r="F10" s="26" t="n">
        <x:v>0.6</x:v>
      </x:c>
      <x:c r="G10" s="26" t="n">
        <x:v>1</x:v>
      </x:c>
      <x:c r="H10" s="26" t="n">
        <x:v>0</x:v>
      </x:c>
      <x:c r="I10" t="str">
        <x:v>pi/4</x:v>
      </x:c>
      <x:c r="J10" s="26" t="n">
        <x:f>Raw_pure!G10</x:f>
        <x:v>0.005859375</x:v>
      </x:c>
      <x:c r="K10" s="26" t="n">
        <x:f>Raw_pure!H10</x:f>
        <x:v>0.4814453125</x:v>
      </x:c>
      <x:c r="L10" s="26" t="n">
        <x:f>Raw_pure!I10</x:f>
        <x:v>0.505859375</x:v>
      </x:c>
      <x:c r="M10" s="26" t="n">
        <x:f>Raw_pure!J10</x:f>
        <x:v>0.0068359375</x:v>
      </x:c>
      <x:c r="N10" s="26" t="n">
        <x:v>0.8</x:v>
      </x:c>
      <x:c r="O10" s="26" t="n">
        <x:v>0.8</x:v>
      </x:c>
      <x:c r="P10" s="26" t="n">
        <x:f>J10*E10+K10*F10+L10*G10+M10*H10</x:f>
        <x:v>0.79619140625</x:v>
      </x:c>
      <x:c r="Q10" s="26" t="n">
        <x:f>J10*E10+K10*G10+L10*F10+M10*H10</x:f>
        <x:v>0.78642578125</x:v>
      </x:c>
      <x:c r="R10" s="26" t="n">
        <x:f>(P10+Q10)/2</x:f>
        <x:v>0.79130859375</x:v>
      </x:c>
      <x:c r="S10" s="26" t="n">
        <x:f>P10-Q10</x:f>
        <x:v>0.009765625</x:v>
      </x:c>
      <x:c r="T10" s="26" t="n">
        <x:f>(P10-N10)^2+(Q10-O10)^2</x:f>
        <x:v>0.00019876480102539373</x:v>
      </x:c>
    </x:row>
    <x:row r="11">
      <x:c r="A11" t="str">
        <x:v>A</x:v>
      </x:c>
      <x:c r="B11" t="n">
        <x:v>8</x:v>
      </x:c>
      <x:c r="C11" t="str">
        <x:v>Case 1a (BoS), pure</x:v>
      </x:c>
      <x:c r="D11" t="str">
        <x:v>pure</x:v>
      </x:c>
      <x:c r="E11" s="26" t="n">
        <x:v>0.25</x:v>
      </x:c>
      <x:c r="F11" s="26" t="n">
        <x:v>0.6</x:v>
      </x:c>
      <x:c r="G11" s="26" t="n">
        <x:v>1</x:v>
      </x:c>
      <x:c r="H11" s="26" t="n">
        <x:v>0</x:v>
      </x:c>
      <x:c r="I11" t="str">
        <x:v>pi/4</x:v>
      </x:c>
      <x:c r="J11" s="26" t="n">
        <x:f>Raw_pure!G11</x:f>
        <x:v>0.0107421875</x:v>
      </x:c>
      <x:c r="K11" s="26" t="n">
        <x:f>Raw_pure!H11</x:f>
        <x:v>0.470703125</x:v>
      </x:c>
      <x:c r="L11" s="26" t="n">
        <x:f>Raw_pure!I11</x:f>
        <x:v>0.5048828125</x:v>
      </x:c>
      <x:c r="M11" s="26" t="n">
        <x:f>Raw_pure!J11</x:f>
        <x:v>0.013671875</x:v>
      </x:c>
      <x:c r="N11" s="26" t="n">
        <x:v>0.8</x:v>
      </x:c>
      <x:c r="O11" s="26" t="n">
        <x:v>0.8</x:v>
      </x:c>
      <x:c r="P11" s="26" t="n">
        <x:f>J11*E11+K11*F11+L11*G11+M11*H11</x:f>
        <x:v>0.789990234375</x:v>
      </x:c>
      <x:c r="Q11" s="26" t="n">
        <x:f>J11*E11+K11*G11+L11*F11+M11*H11</x:f>
        <x:v>0.776318359375</x:v>
      </x:c>
      <x:c r="R11" s="26" t="n">
        <x:f>(P11+Q11)/2</x:f>
        <x:v>0.783154296875</x:v>
      </x:c>
      <x:c r="S11" s="26" t="n">
        <x:f>P11-Q11</x:f>
        <x:v>0.013671875</x:v>
      </x:c>
      <x:c r="T11" s="26" t="n">
        <x:f>(P11-N11)^2+(Q11-O11)^2</x:f>
        <x:v>0.000661015510559082</x:v>
      </x:c>
    </x:row>
    <x:row r="12">
      <x:c r="A12" t="str">
        <x:v>A</x:v>
      </x:c>
      <x:c r="B12" t="n">
        <x:v>9</x:v>
      </x:c>
      <x:c r="C12" t="str">
        <x:v>Case 1a (BoS), pure</x:v>
      </x:c>
      <x:c r="D12" t="str">
        <x:v>pure</x:v>
      </x:c>
      <x:c r="E12" s="26" t="n">
        <x:v>0.25</x:v>
      </x:c>
      <x:c r="F12" s="26" t="n">
        <x:v>0.6</x:v>
      </x:c>
      <x:c r="G12" s="26" t="n">
        <x:v>1</x:v>
      </x:c>
      <x:c r="H12" s="26" t="n">
        <x:v>0</x:v>
      </x:c>
      <x:c r="I12" t="str">
        <x:v>pi/4</x:v>
      </x:c>
      <x:c r="J12" s="26" t="n">
        <x:f>Raw_pure!G12</x:f>
        <x:v>0.0048828125</x:v>
      </x:c>
      <x:c r="K12" s="26" t="n">
        <x:f>Raw_pure!H12</x:f>
        <x:v>0.4814453125</x:v>
      </x:c>
      <x:c r="L12" s="26" t="n">
        <x:f>Raw_pure!I12</x:f>
        <x:v>0.50390625</x:v>
      </x:c>
      <x:c r="M12" s="26" t="n">
        <x:f>Raw_pure!J12</x:f>
        <x:v>0.009765625</x:v>
      </x:c>
      <x:c r="N12" s="26" t="n">
        <x:v>0.8</x:v>
      </x:c>
      <x:c r="O12" s="26" t="n">
        <x:v>0.8</x:v>
      </x:c>
      <x:c r="P12" s="26" t="n">
        <x:f>J12*E12+K12*F12+L12*G12+M12*H12</x:f>
        <x:v>0.793994140625</x:v>
      </x:c>
      <x:c r="Q12" s="26" t="n">
        <x:f>J12*E12+K12*G12+L12*F12+M12*H12</x:f>
        <x:v>0.7850097656249999</x:v>
      </x:c>
      <x:c r="R12" s="26" t="n">
        <x:f>(P12+Q12)/2</x:f>
        <x:v>0.7895019531249999</x:v>
      </x:c>
      <x:c r="S12" s="26" t="n">
        <x:f>P12-Q12</x:f>
        <x:v>0.008984375000000044</x:v>
      </x:c>
      <x:c r="T12" s="26" t="n">
        <x:f>(P12-N12)^2+(Q12-O12)^2</x:f>
        <x:v>0.00026077747344971207</x:v>
      </x:c>
    </x:row>
    <x:row r="13">
      <x:c r="A13" t="str">
        <x:v>A</x:v>
      </x:c>
      <x:c r="B13" t="n">
        <x:v>10</x:v>
      </x:c>
      <x:c r="C13" t="str">
        <x:v>Case 1a (BoS), pure</x:v>
      </x:c>
      <x:c r="D13" t="str">
        <x:v>pure</x:v>
      </x:c>
      <x:c r="E13" s="26" t="n">
        <x:v>0.25</x:v>
      </x:c>
      <x:c r="F13" s="26" t="n">
        <x:v>0.6</x:v>
      </x:c>
      <x:c r="G13" s="26" t="n">
        <x:v>1</x:v>
      </x:c>
      <x:c r="H13" s="26" t="n">
        <x:v>0</x:v>
      </x:c>
      <x:c r="I13" t="str">
        <x:v>pi/4</x:v>
      </x:c>
      <x:c r="J13" s="26" t="n">
        <x:f>Raw_pure!G13</x:f>
        <x:v>0.0068359375</x:v>
      </x:c>
      <x:c r="K13" s="26" t="n">
        <x:f>Raw_pure!H13</x:f>
        <x:v>0.4853515625</x:v>
      </x:c>
      <x:c r="L13" s="26" t="n">
        <x:f>Raw_pure!I13</x:f>
        <x:v>0.4990234375</x:v>
      </x:c>
      <x:c r="M13" s="26" t="n">
        <x:f>Raw_pure!J13</x:f>
        <x:v>0.0087890625</x:v>
      </x:c>
      <x:c r="N13" s="26" t="n">
        <x:v>0.8</x:v>
      </x:c>
      <x:c r="O13" s="26" t="n">
        <x:v>0.8</x:v>
      </x:c>
      <x:c r="P13" s="26" t="n">
        <x:f>J13*E13+K13*F13+L13*G13+M13*H13</x:f>
        <x:v>0.791943359375</x:v>
      </x:c>
      <x:c r="Q13" s="26" t="n">
        <x:f>J13*E13+K13*G13+L13*F13+M13*H13</x:f>
        <x:v>0.7864746093749999</x:v>
      </x:c>
      <x:c r="R13" s="26" t="n">
        <x:f>(P13+Q13)/2</x:f>
        <x:v>0.789208984375</x:v>
      </x:c>
      <x:c r="S13" s="26" t="n">
        <x:f>P13-Q13</x:f>
        <x:v>0.005468750000000133</x:v>
      </x:c>
      <x:c r="T13" s="26" t="n">
        <x:f>(P13-N13)^2+(Q13-O13)^2</x:f>
        <x:v>0.00024784564971924185</x:v>
      </x:c>
    </x:row>
    <x:row r="14">
      <x:c r="A14" t="str">
        <x:v>A</x:v>
      </x:c>
      <x:c r="B14" t="n">
        <x:v>11</x:v>
      </x:c>
      <x:c r="C14" t="str">
        <x:v>Case 1a (BoS), pure</x:v>
      </x:c>
      <x:c r="D14" t="str">
        <x:v>pure</x:v>
      </x:c>
      <x:c r="E14" s="26" t="n">
        <x:v>0.25</x:v>
      </x:c>
      <x:c r="F14" s="26" t="n">
        <x:v>0.6</x:v>
      </x:c>
      <x:c r="G14" s="26" t="n">
        <x:v>1</x:v>
      </x:c>
      <x:c r="H14" s="26" t="n">
        <x:v>0</x:v>
      </x:c>
      <x:c r="I14" t="str">
        <x:v>pi/4</x:v>
      </x:c>
      <x:c r="J14" s="26" t="n">
        <x:f>Raw_pure!G14</x:f>
        <x:v>0.005859375</x:v>
      </x:c>
      <x:c r="K14" s="26" t="n">
        <x:f>Raw_pure!H14</x:f>
        <x:v>0.5029296875</x:v>
      </x:c>
      <x:c r="L14" s="26" t="n">
        <x:f>Raw_pure!I14</x:f>
        <x:v>0.484375</x:v>
      </x:c>
      <x:c r="M14" s="26" t="n">
        <x:f>Raw_pure!J14</x:f>
        <x:v>0.0068359375</x:v>
      </x:c>
      <x:c r="N14" s="26" t="n">
        <x:v>0.8</x:v>
      </x:c>
      <x:c r="O14" s="26" t="n">
        <x:v>0.8</x:v>
      </x:c>
      <x:c r="P14" s="26" t="n">
        <x:f>J14*E14+K14*F14+L14*G14+M14*H14</x:f>
        <x:v>0.78759765625</x:v>
      </x:c>
      <x:c r="Q14" s="26" t="n">
        <x:f>J14*E14+K14*G14+L14*F14+M14*H14</x:f>
        <x:v>0.7950195312499999</x:v>
      </x:c>
      <x:c r="R14" s="26" t="n">
        <x:f>(P14+Q14)/2</x:f>
        <x:v>0.79130859375</x:v>
      </x:c>
      <x:c r="S14" s="26" t="n">
        <x:f>P14-Q14</x:f>
        <x:v>-0.007421874999999911</x:v>
      </x:c>
      <x:c r="T14" s="26" t="n">
        <x:f>(P14-N14)^2+(Q14-O14)^2</x:f>
        <x:v>0.00017862319946289305</x:v>
      </x:c>
    </x:row>
    <x:row r="15">
      <x:c r="A15" t="str">
        <x:v>A</x:v>
      </x:c>
      <x:c r="B15" t="n">
        <x:v>12</x:v>
      </x:c>
      <x:c r="C15" t="str">
        <x:v>Case 1a (BoS), pure</x:v>
      </x:c>
      <x:c r="D15" t="str">
        <x:v>pure</x:v>
      </x:c>
      <x:c r="E15" s="26" t="n">
        <x:v>0.25</x:v>
      </x:c>
      <x:c r="F15" s="26" t="n">
        <x:v>0.6</x:v>
      </x:c>
      <x:c r="G15" s="26" t="n">
        <x:v>1</x:v>
      </x:c>
      <x:c r="H15" s="26" t="n">
        <x:v>0</x:v>
      </x:c>
      <x:c r="I15" t="str">
        <x:v>pi/4</x:v>
      </x:c>
      <x:c r="J15" s="26" t="n">
        <x:f>Raw_pure!G15</x:f>
        <x:v>0.0078125</x:v>
      </x:c>
      <x:c r="K15" s="26" t="n">
        <x:f>Raw_pure!H15</x:f>
        <x:v>0.5087890625</x:v>
      </x:c>
      <x:c r="L15" s="26" t="n">
        <x:f>Raw_pure!I15</x:f>
        <x:v>0.478515625</x:v>
      </x:c>
      <x:c r="M15" s="26" t="n">
        <x:f>Raw_pure!J15</x:f>
        <x:v>0.0048828125</x:v>
      </x:c>
      <x:c r="N15" s="26" t="n">
        <x:v>0.8</x:v>
      </x:c>
      <x:c r="O15" s="26" t="n">
        <x:v>0.8</x:v>
      </x:c>
      <x:c r="P15" s="26" t="n">
        <x:f>J15*E15+K15*F15+L15*G15+M15*H15</x:f>
        <x:v>0.7857421874999999</x:v>
      </x:c>
      <x:c r="Q15" s="26" t="n">
        <x:f>J15*E15+K15*G15+L15*F15+M15*H15</x:f>
        <x:v>0.7978515625</x:v>
      </x:c>
      <x:c r="R15" s="26" t="n">
        <x:f>(P15+Q15)/2</x:f>
        <x:v>0.791796875</x:v>
      </x:c>
      <x:c r="S15" s="26" t="n">
        <x:f>P15-Q15</x:f>
        <x:v>-0.012109375000000089</x:v>
      </x:c>
      <x:c r="T15" s="26" t="n">
        <x:f>(P15-N15)^2+(Q15-O15)^2</x:f>
        <x:v>0.00020790100097656648</x:v>
      </x:c>
    </x:row>
    <x:row r="16">
      <x:c r="A16" t="str">
        <x:v>A</x:v>
      </x:c>
      <x:c r="B16" t="n">
        <x:v>13</x:v>
      </x:c>
      <x:c r="C16" t="str">
        <x:v>Case 1a (BoS), pure</x:v>
      </x:c>
      <x:c r="D16" t="str">
        <x:v>pure</x:v>
      </x:c>
      <x:c r="E16" s="26" t="n">
        <x:v>0.25</x:v>
      </x:c>
      <x:c r="F16" s="26" t="n">
        <x:v>0.6</x:v>
      </x:c>
      <x:c r="G16" s="26" t="n">
        <x:v>1</x:v>
      </x:c>
      <x:c r="H16" s="26" t="n">
        <x:v>0</x:v>
      </x:c>
      <x:c r="I16" t="str">
        <x:v>pi/4</x:v>
      </x:c>
      <x:c r="J16" s="26" t="n">
        <x:f>Raw_pure!G16</x:f>
        <x:v>0.0068359375</x:v>
      </x:c>
      <x:c r="K16" s="26" t="n">
        <x:f>Raw_pure!H16</x:f>
        <x:v>0.490234375</x:v>
      </x:c>
      <x:c r="L16" s="26" t="n">
        <x:f>Raw_pure!I16</x:f>
        <x:v>0.4912109375</x:v>
      </x:c>
      <x:c r="M16" s="26" t="n">
        <x:f>Raw_pure!J16</x:f>
        <x:v>0.01171875</x:v>
      </x:c>
      <x:c r="N16" s="26" t="n">
        <x:v>0.8</x:v>
      </x:c>
      <x:c r="O16" s="26" t="n">
        <x:v>0.8</x:v>
      </x:c>
      <x:c r="P16" s="26" t="n">
        <x:f>J16*E16+K16*F16+L16*G16+M16*H16</x:f>
        <x:v>0.787060546875</x:v>
      </x:c>
      <x:c r="Q16" s="26" t="n">
        <x:f>J16*E16+K16*G16+L16*F16+M16*H16</x:f>
        <x:v>0.786669921875</x:v>
      </x:c>
      <x:c r="R16" s="26" t="n">
        <x:f>(P16+Q16)/2</x:f>
        <x:v>0.786865234375</x:v>
      </x:c>
      <x:c r="S16" s="26" t="n">
        <x:f>P16-Q16</x:f>
        <x:v>0.0003906250000000888</x:v>
      </x:c>
      <x:c r="T16" s="26" t="n">
        <x:f>(P16-N16)^2+(Q16-O16)^2</x:f>
        <x:v>0.00034512042999267816</x:v>
      </x:c>
    </x:row>
    <x:row r="17">
      <x:c r="A17" t="str">
        <x:v>A</x:v>
      </x:c>
      <x:c r="B17" t="n">
        <x:v>14</x:v>
      </x:c>
      <x:c r="C17" t="str">
        <x:v>Case 1a (BoS), pure</x:v>
      </x:c>
      <x:c r="D17" t="str">
        <x:v>pure</x:v>
      </x:c>
      <x:c r="E17" s="26" t="n">
        <x:v>0.25</x:v>
      </x:c>
      <x:c r="F17" s="26" t="n">
        <x:v>0.6</x:v>
      </x:c>
      <x:c r="G17" s="26" t="n">
        <x:v>1</x:v>
      </x:c>
      <x:c r="H17" s="26" t="n">
        <x:v>0</x:v>
      </x:c>
      <x:c r="I17" t="str">
        <x:v>pi/4</x:v>
      </x:c>
      <x:c r="J17" s="26" t="n">
        <x:f>Raw_pure!G17</x:f>
        <x:v>0.005859375</x:v>
      </x:c>
      <x:c r="K17" s="26" t="n">
        <x:f>Raw_pure!H17</x:f>
        <x:v>0.5009765625</x:v>
      </x:c>
      <x:c r="L17" s="26" t="n">
        <x:f>Raw_pure!I17</x:f>
        <x:v>0.486328125</x:v>
      </x:c>
      <x:c r="M17" s="26" t="n">
        <x:f>Raw_pure!J17</x:f>
        <x:v>0.0068359375</x:v>
      </x:c>
      <x:c r="N17" s="26" t="n">
        <x:v>0.8</x:v>
      </x:c>
      <x:c r="O17" s="26" t="n">
        <x:v>0.8</x:v>
      </x:c>
      <x:c r="P17" s="26" t="n">
        <x:f>J17*E17+K17*F17+L17*G17+M17*H17</x:f>
        <x:v>0.78837890625</x:v>
      </x:c>
      <x:c r="Q17" s="26" t="n">
        <x:f>J17*E17+K17*G17+L17*F17+M17*H17</x:f>
        <x:v>0.79423828125</x:v>
      </x:c>
      <x:c r="R17" s="26" t="n">
        <x:f>(P17+Q17)/2</x:f>
        <x:v>0.79130859375</x:v>
      </x:c>
      <x:c r="S17" s="26" t="n">
        <x:f>P17-Q17</x:f>
        <x:v>-0.005859375</x:v>
      </x:c>
      <x:c r="T17" s="26" t="n">
        <x:f>(P17-N17)^2+(Q17-O17)^2</x:f>
        <x:v>0.00016824722290039373</x:v>
      </x:c>
    </x:row>
    <x:row r="18">
      <x:c r="A18" t="str">
        <x:v>A</x:v>
      </x:c>
      <x:c r="B18" t="n">
        <x:v>15</x:v>
      </x:c>
      <x:c r="C18" t="str">
        <x:v>Case 1a (BoS), pure</x:v>
      </x:c>
      <x:c r="D18" t="str">
        <x:v>pure</x:v>
      </x:c>
      <x:c r="E18" s="26" t="n">
        <x:v>0.25</x:v>
      </x:c>
      <x:c r="F18" s="26" t="n">
        <x:v>0.6</x:v>
      </x:c>
      <x:c r="G18" s="26" t="n">
        <x:v>1</x:v>
      </x:c>
      <x:c r="H18" s="26" t="n">
        <x:v>0</x:v>
      </x:c>
      <x:c r="I18" t="str">
        <x:v>pi/4</x:v>
      </x:c>
      <x:c r="J18" s="26" t="n">
        <x:f>Raw_pure!G18</x:f>
        <x:v>0.00390625</x:v>
      </x:c>
      <x:c r="K18" s="26" t="n">
        <x:f>Raw_pure!H18</x:f>
        <x:v>0.474609375</x:v>
      </x:c>
      <x:c r="L18" s="26" t="n">
        <x:f>Raw_pure!I18</x:f>
        <x:v>0.51953125</x:v>
      </x:c>
      <x:c r="M18" s="26" t="n">
        <x:f>Raw_pure!J18</x:f>
        <x:v>0.001953125</x:v>
      </x:c>
      <x:c r="N18" s="26" t="n">
        <x:v>0.8</x:v>
      </x:c>
      <x:c r="O18" s="26" t="n">
        <x:v>0.8</x:v>
      </x:c>
      <x:c r="P18" s="26" t="n">
        <x:f>J18*E18+K18*F18+L18*G18+M18*H18</x:f>
        <x:v>0.8052734374999999</x:v>
      </x:c>
      <x:c r="Q18" s="26" t="n">
        <x:f>J18*E18+K18*G18+L18*F18+M18*H18</x:f>
        <x:v>0.7873046875</x:v>
      </x:c>
      <x:c r="R18" s="26" t="n">
        <x:f>(P18+Q18)/2</x:f>
        <x:v>0.7962890625</x:v>
      </x:c>
      <x:c r="S18" s="26" t="n">
        <x:f>P18-Q18</x:f>
        <x:v>0.017968749999999867</x:v>
      </x:c>
      <x:c r="T18" s="26" t="n">
        <x:f>(P18-N18)^2+(Q18-O18)^2</x:f>
        <x:v>0.0001889801025390611</x:v>
      </x:c>
    </x:row>
    <x:row r="19">
      <x:c r="A19" t="str">
        <x:v>A</x:v>
      </x:c>
      <x:c r="B19" t="n">
        <x:v>16</x:v>
      </x:c>
      <x:c r="C19" t="str">
        <x:v>Case 1a (BoS), pure</x:v>
      </x:c>
      <x:c r="D19" t="str">
        <x:v>pure</x:v>
      </x:c>
      <x:c r="E19" s="26" t="n">
        <x:v>0.25</x:v>
      </x:c>
      <x:c r="F19" s="26" t="n">
        <x:v>0.6</x:v>
      </x:c>
      <x:c r="G19" s="26" t="n">
        <x:v>1</x:v>
      </x:c>
      <x:c r="H19" s="26" t="n">
        <x:v>0</x:v>
      </x:c>
      <x:c r="I19" t="str">
        <x:v>pi/4</x:v>
      </x:c>
      <x:c r="J19" s="26" t="n">
        <x:f>Raw_pure!G19</x:f>
        <x:v>0.0068359375</x:v>
      </x:c>
      <x:c r="K19" s="26" t="n">
        <x:f>Raw_pure!H19</x:f>
        <x:v>0.4931640625</x:v>
      </x:c>
      <x:c r="L19" s="26" t="n">
        <x:f>Raw_pure!I19</x:f>
        <x:v>0.4912109375</x:v>
      </x:c>
      <x:c r="M19" s="26" t="n">
        <x:f>Raw_pure!J19</x:f>
        <x:v>0.0087890625</x:v>
      </x:c>
      <x:c r="N19" s="26" t="n">
        <x:v>0.8</x:v>
      </x:c>
      <x:c r="O19" s="26" t="n">
        <x:v>0.8</x:v>
      </x:c>
      <x:c r="P19" s="26" t="n">
        <x:f>J19*E19+K19*F19+L19*G19+M19*H19</x:f>
        <x:v>0.788818359375</x:v>
      </x:c>
      <x:c r="Q19" s="26" t="n">
        <x:f>J19*E19+K19*G19+L19*F19+M19*H19</x:f>
        <x:v>0.789599609375</x:v>
      </x:c>
      <x:c r="R19" s="26" t="n">
        <x:f>(P19+Q19)/2</x:f>
        <x:v>0.789208984375</x:v>
      </x:c>
      <x:c r="S19" s="26" t="n">
        <x:f>P19-Q19</x:f>
        <x:v>-0.0007812499999999556</x:v>
      </x:c>
      <x:c r="T19" s="26" t="n">
        <x:f>(P19-N19)^2+(Q19-O19)^2</x:f>
        <x:v>0.00023319721221924113</x:v>
      </x:c>
    </x:row>
    <x:row r="20">
      <x:c r="A20" t="str">
        <x:v>A</x:v>
      </x:c>
      <x:c r="B20" t="n">
        <x:v>17</x:v>
      </x:c>
      <x:c r="C20" t="str">
        <x:v>Case 1a (BoS), pure</x:v>
      </x:c>
      <x:c r="D20" t="str">
        <x:v>pure</x:v>
      </x:c>
      <x:c r="E20" s="26" t="n">
        <x:v>0.25</x:v>
      </x:c>
      <x:c r="F20" s="26" t="n">
        <x:v>0.6</x:v>
      </x:c>
      <x:c r="G20" s="26" t="n">
        <x:v>1</x:v>
      </x:c>
      <x:c r="H20" s="26" t="n">
        <x:v>0</x:v>
      </x:c>
      <x:c r="I20" t="str">
        <x:v>pi/4</x:v>
      </x:c>
      <x:c r="J20" s="26" t="n">
        <x:f>Raw_pure!G20</x:f>
        <x:v>0.0126953125</x:v>
      </x:c>
      <x:c r="K20" s="26" t="n">
        <x:f>Raw_pure!H20</x:f>
        <x:v>0.51171875</x:v>
      </x:c>
      <x:c r="L20" s="26" t="n">
        <x:f>Raw_pure!I20</x:f>
        <x:v>0.4697265625</x:v>
      </x:c>
      <x:c r="M20" s="26" t="n">
        <x:f>Raw_pure!J20</x:f>
        <x:v>0.005859375</x:v>
      </x:c>
      <x:c r="N20" s="26" t="n">
        <x:v>0.8</x:v>
      </x:c>
      <x:c r="O20" s="26" t="n">
        <x:v>0.8</x:v>
      </x:c>
      <x:c r="P20" s="26" t="n">
        <x:f>J20*E20+K20*F20+L20*G20+M20*H20</x:f>
        <x:v>0.779931640625</x:v>
      </x:c>
      <x:c r="Q20" s="26" t="n">
        <x:f>J20*E20+K20*G20+L20*F20+M20*H20</x:f>
        <x:v>0.7967285156249999</x:v>
      </x:c>
      <x:c r="R20" s="26" t="n">
        <x:f>(P20+Q20)/2</x:f>
        <x:v>0.788330078125</x:v>
      </x:c>
      <x:c r="S20" s="26" t="n">
        <x:f>P20-Q20</x:f>
        <x:v>-0.016796874999999933</x:v>
      </x:c>
      <x:c r="T20" s="26" t="n">
        <x:f>(P20-N20)^2+(Q20-O20)^2</x:f>
        <x:v>0.0004134416580200231</x:v>
      </x:c>
    </x:row>
    <x:row r="21">
      <x:c r="A21" t="str">
        <x:v>A</x:v>
      </x:c>
      <x:c r="B21" t="n">
        <x:v>18</x:v>
      </x:c>
      <x:c r="C21" t="str">
        <x:v>Case 1a (BoS), pure</x:v>
      </x:c>
      <x:c r="D21" t="str">
        <x:v>pure</x:v>
      </x:c>
      <x:c r="E21" s="26" t="n">
        <x:v>0.25</x:v>
      </x:c>
      <x:c r="F21" s="26" t="n">
        <x:v>0.6</x:v>
      </x:c>
      <x:c r="G21" s="26" t="n">
        <x:v>1</x:v>
      </x:c>
      <x:c r="H21" s="26" t="n">
        <x:v>0</x:v>
      </x:c>
      <x:c r="I21" t="str">
        <x:v>pi/4</x:v>
      </x:c>
      <x:c r="J21" s="26" t="n">
        <x:f>Raw_pure!G21</x:f>
        <x:v>0.0068359375</x:v>
      </x:c>
      <x:c r="K21" s="26" t="n">
        <x:f>Raw_pure!H21</x:f>
        <x:v>0.4794921875</x:v>
      </x:c>
      <x:c r="L21" s="26" t="n">
        <x:f>Raw_pure!I21</x:f>
        <x:v>0.5048828125</x:v>
      </x:c>
      <x:c r="M21" s="26" t="n">
        <x:f>Raw_pure!J21</x:f>
        <x:v>0.0087890625</x:v>
      </x:c>
      <x:c r="N21" s="26" t="n">
        <x:v>0.8</x:v>
      </x:c>
      <x:c r="O21" s="26" t="n">
        <x:v>0.8</x:v>
      </x:c>
      <x:c r="P21" s="26" t="n">
        <x:f>J21*E21+K21*F21+L21*G21+M21*H21</x:f>
        <x:v>0.7942871093749999</x:v>
      </x:c>
      <x:c r="Q21" s="26" t="n">
        <x:f>J21*E21+K21*G21+L21*F21+M21*H21</x:f>
        <x:v>0.784130859375</x:v>
      </x:c>
      <x:c r="R21" s="26" t="n">
        <x:f>(P21+Q21)/2</x:f>
        <x:v>0.789208984375</x:v>
      </x:c>
      <x:c r="S21" s="26" t="n">
        <x:f>P21-Q21</x:f>
        <x:v>0.010156249999999867</x:v>
      </x:c>
      <x:c r="T21" s="26" t="n">
        <x:f>(P21-N21)^2+(Q21-O21)^2</x:f>
        <x:v>0.0002844667434692398</x:v>
      </x:c>
    </x:row>
    <x:row r="22">
      <x:c r="A22" t="str">
        <x:v>A</x:v>
      </x:c>
      <x:c r="B22" t="n">
        <x:v>19</x:v>
      </x:c>
      <x:c r="C22" t="str">
        <x:v>Case 1a (BoS), pure</x:v>
      </x:c>
      <x:c r="D22" t="str">
        <x:v>pure</x:v>
      </x:c>
      <x:c r="E22" s="26" t="n">
        <x:v>0.25</x:v>
      </x:c>
      <x:c r="F22" s="26" t="n">
        <x:v>0.6</x:v>
      </x:c>
      <x:c r="G22" s="26" t="n">
        <x:v>1</x:v>
      </x:c>
      <x:c r="H22" s="26" t="n">
        <x:v>0</x:v>
      </x:c>
      <x:c r="I22" t="str">
        <x:v>pi/4</x:v>
      </x:c>
      <x:c r="J22" s="26" t="n">
        <x:f>Raw_pure!G22</x:f>
        <x:v>0.0126953125</x:v>
      </x:c>
      <x:c r="K22" s="26" t="n">
        <x:f>Raw_pure!H22</x:f>
        <x:v>0.4716796875</x:v>
      </x:c>
      <x:c r="L22" s="26" t="n">
        <x:f>Raw_pure!I22</x:f>
        <x:v>0.5087890625</x:v>
      </x:c>
      <x:c r="M22" s="26" t="n">
        <x:f>Raw_pure!J22</x:f>
        <x:v>0.0068359375</x:v>
      </x:c>
      <x:c r="N22" s="26" t="n">
        <x:v>0.8</x:v>
      </x:c>
      <x:c r="O22" s="26" t="n">
        <x:v>0.8</x:v>
      </x:c>
      <x:c r="P22" s="26" t="n">
        <x:f>J22*E22+K22*F22+L22*G22+M22*H22</x:f>
        <x:v>0.794970703125</x:v>
      </x:c>
      <x:c r="Q22" s="26" t="n">
        <x:f>J22*E22+K22*G22+L22*F22+M22*H22</x:f>
        <x:v>0.7801269531249999</x:v>
      </x:c>
      <x:c r="R22" s="26" t="n">
        <x:f>(P22+Q22)/2</x:f>
        <x:v>0.7875488281249999</x:v>
      </x:c>
      <x:c r="S22" s="26" t="n">
        <x:f>P22-Q22</x:f>
        <x:v>0.014843750000000044</x:v>
      </x:c>
      <x:c r="T22" s="26" t="n">
        <x:f>(P22-N22)^2+(Q22-O22)^2</x:f>
        <x:v>0.00042023181915283825</x:v>
      </x:c>
    </x:row>
    <x:row r="23">
      <x:c r="A23" t="str">
        <x:v>A</x:v>
      </x:c>
      <x:c r="B23" t="n">
        <x:v>20</x:v>
      </x:c>
      <x:c r="C23" t="str">
        <x:v>Case 1a (BoS), pure</x:v>
      </x:c>
      <x:c r="D23" t="str">
        <x:v>pure</x:v>
      </x:c>
      <x:c r="E23" s="26" t="n">
        <x:v>0.25</x:v>
      </x:c>
      <x:c r="F23" s="26" t="n">
        <x:v>0.6</x:v>
      </x:c>
      <x:c r="G23" s="26" t="n">
        <x:v>1</x:v>
      </x:c>
      <x:c r="H23" s="26" t="n">
        <x:v>0</x:v>
      </x:c>
      <x:c r="I23" t="str">
        <x:v>pi/4</x:v>
      </x:c>
      <x:c r="J23" s="26" t="n">
        <x:f>Raw_pure!G23</x:f>
        <x:v>0.009765625</x:v>
      </x:c>
      <x:c r="K23" s="26" t="n">
        <x:f>Raw_pure!H23</x:f>
        <x:v>0.4736328125</x:v>
      </x:c>
      <x:c r="L23" s="26" t="n">
        <x:f>Raw_pure!I23</x:f>
        <x:v>0.509765625</x:v>
      </x:c>
      <x:c r="M23" s="26" t="n">
        <x:f>Raw_pure!J23</x:f>
        <x:v>0.0068359375</x:v>
      </x:c>
      <x:c r="N23" s="26" t="n">
        <x:v>0.8</x:v>
      </x:c>
      <x:c r="O23" s="26" t="n">
        <x:v>0.8</x:v>
      </x:c>
      <x:c r="P23" s="26" t="n">
        <x:f>J23*E23+K23*F23+L23*G23+M23*H23</x:f>
        <x:v>0.79638671875</x:v>
      </x:c>
      <x:c r="Q23" s="26" t="n">
        <x:f>J23*E23+K23*G23+L23*F23+M23*H23</x:f>
        <x:v>0.78193359375</x:v>
      </x:c>
      <x:c r="R23" s="26" t="n">
        <x:f>(P23+Q23)/2</x:f>
        <x:v>0.78916015625</x:v>
      </x:c>
      <x:c r="S23" s="26" t="n">
        <x:f>P23-Q23</x:f>
        <x:v>0.014453124999999956</x:v>
      </x:c>
      <x:c r="T23" s="26" t="n">
        <x:f>(P23-N23)^2+(Q23-O23)^2</x:f>
        <x:v>0.00033945083618164095</x:v>
      </x:c>
    </x:row>
    <x:row r="24">
      <x:c r="A24" t="str">
        <x:v>A</x:v>
      </x:c>
      <x:c r="B24" t="n">
        <x:v>21</x:v>
      </x:c>
      <x:c r="C24" t="str">
        <x:v>Case 1a (BoS), pure</x:v>
      </x:c>
      <x:c r="D24" t="str">
        <x:v>pure</x:v>
      </x:c>
      <x:c r="E24" s="26" t="n">
        <x:v>0.25</x:v>
      </x:c>
      <x:c r="F24" s="26" t="n">
        <x:v>0.6</x:v>
      </x:c>
      <x:c r="G24" s="26" t="n">
        <x:v>1</x:v>
      </x:c>
      <x:c r="H24" s="26" t="n">
        <x:v>0</x:v>
      </x:c>
      <x:c r="I24" t="str">
        <x:v>pi/4</x:v>
      </x:c>
      <x:c r="J24" s="26" t="n">
        <x:f>Raw_pure!G24</x:f>
        <x:v>0.0068359375</x:v>
      </x:c>
      <x:c r="K24" s="26" t="n">
        <x:f>Raw_pure!H24</x:f>
        <x:v>0.4912109375</x:v>
      </x:c>
      <x:c r="L24" s="26" t="n">
        <x:f>Raw_pure!I24</x:f>
        <x:v>0.4921875</x:v>
      </x:c>
      <x:c r="M24" s="26" t="n">
        <x:f>Raw_pure!J24</x:f>
        <x:v>0.009765625</x:v>
      </x:c>
      <x:c r="N24" s="26" t="n">
        <x:v>0.8</x:v>
      </x:c>
      <x:c r="O24" s="26" t="n">
        <x:v>0.8</x:v>
      </x:c>
      <x:c r="P24" s="26" t="n">
        <x:f>J24*E24+K24*F24+L24*G24+M24*H24</x:f>
        <x:v>0.788623046875</x:v>
      </x:c>
      <x:c r="Q24" s="26" t="n">
        <x:f>J24*E24+K24*G24+L24*F24+M24*H24</x:f>
        <x:v>0.788232421875</x:v>
      </x:c>
      <x:c r="R24" s="26" t="n">
        <x:f>(P24+Q24)/2</x:f>
        <x:v>0.7884277343749999</x:v>
      </x:c>
      <x:c r="S24" s="26" t="n">
        <x:f>P24-Q24</x:f>
        <x:v>0.0003906249999999778</x:v>
      </x:c>
      <x:c r="T24" s="26" t="n">
        <x:f>(P24-N24)^2+(Q24-O24)^2</x:f>
        <x:v>0.00026791095733642937</x:v>
      </x:c>
    </x:row>
    <x:row r="25">
      <x:c r="A25" t="str">
        <x:v>A</x:v>
      </x:c>
      <x:c r="B25" t="n">
        <x:v>22</x:v>
      </x:c>
      <x:c r="C25" t="str">
        <x:v>Case 1a (BoS), pure</x:v>
      </x:c>
      <x:c r="D25" t="str">
        <x:v>pure</x:v>
      </x:c>
      <x:c r="E25" s="26" t="n">
        <x:v>0.25</x:v>
      </x:c>
      <x:c r="F25" s="26" t="n">
        <x:v>0.6</x:v>
      </x:c>
      <x:c r="G25" s="26" t="n">
        <x:v>1</x:v>
      </x:c>
      <x:c r="H25" s="26" t="n">
        <x:v>0</x:v>
      </x:c>
      <x:c r="I25" t="str">
        <x:v>pi/4</x:v>
      </x:c>
      <x:c r="J25" s="26" t="n">
        <x:f>Raw_pure!G25</x:f>
        <x:v>0.005859375</x:v>
      </x:c>
      <x:c r="K25" s="26" t="n">
        <x:f>Raw_pure!H25</x:f>
        <x:v>0.4921875</x:v>
      </x:c>
      <x:c r="L25" s="26" t="n">
        <x:f>Raw_pure!I25</x:f>
        <x:v>0.49609375</x:v>
      </x:c>
      <x:c r="M25" s="26" t="n">
        <x:f>Raw_pure!J25</x:f>
        <x:v>0.005859375</x:v>
      </x:c>
      <x:c r="N25" s="26" t="n">
        <x:v>0.8</x:v>
      </x:c>
      <x:c r="O25" s="26" t="n">
        <x:v>0.8</x:v>
      </x:c>
      <x:c r="P25" s="26" t="n">
        <x:f>J25*E25+K25*F25+L25*G25+M25*H25</x:f>
        <x:v>0.79287109375</x:v>
      </x:c>
      <x:c r="Q25" s="26" t="n">
        <x:f>J25*E25+K25*G25+L25*F25+M25*H25</x:f>
        <x:v>0.79130859375</x:v>
      </x:c>
      <x:c r="R25" s="26" t="n">
        <x:f>(P25+Q25)/2</x:f>
        <x:v>0.7920898437499999</x:v>
      </x:c>
      <x:c r="S25" s="26" t="n">
        <x:f>P25-Q25</x:f>
        <x:v>0.0015625000000000222</x:v>
      </x:c>
      <x:c r="T25" s="26" t="n">
        <x:f>(P25-N25)^2+(Q25-O25)^2</x:f>
        <x:v>0.00012636184692383062</x:v>
      </x:c>
    </x:row>
    <x:row r="26">
      <x:c r="A26" t="str">
        <x:v>A</x:v>
      </x:c>
      <x:c r="B26" t="n">
        <x:v>23</x:v>
      </x:c>
      <x:c r="C26" t="str">
        <x:v>Case 1a (BoS), pure</x:v>
      </x:c>
      <x:c r="D26" t="str">
        <x:v>pure</x:v>
      </x:c>
      <x:c r="E26" s="26" t="n">
        <x:v>0.25</x:v>
      </x:c>
      <x:c r="F26" s="26" t="n">
        <x:v>0.6</x:v>
      </x:c>
      <x:c r="G26" s="26" t="n">
        <x:v>1</x:v>
      </x:c>
      <x:c r="H26" s="26" t="n">
        <x:v>0</x:v>
      </x:c>
      <x:c r="I26" t="str">
        <x:v>pi/4</x:v>
      </x:c>
      <x:c r="J26" s="26" t="n">
        <x:f>Raw_pure!G26</x:f>
        <x:v>0.005859375</x:v>
      </x:c>
      <x:c r="K26" s="26" t="n">
        <x:f>Raw_pure!H26</x:f>
        <x:v>0.5185546875</x:v>
      </x:c>
      <x:c r="L26" s="26" t="n">
        <x:f>Raw_pure!I26</x:f>
        <x:v>0.4658203125</x:v>
      </x:c>
      <x:c r="M26" s="26" t="n">
        <x:f>Raw_pure!J26</x:f>
        <x:v>0.009765625</x:v>
      </x:c>
      <x:c r="N26" s="26" t="n">
        <x:v>0.8</x:v>
      </x:c>
      <x:c r="O26" s="26" t="n">
        <x:v>0.8</x:v>
      </x:c>
      <x:c r="P26" s="26" t="n">
        <x:f>J26*E26+K26*F26+L26*G26+M26*H26</x:f>
        <x:v>0.7784179687499999</x:v>
      </x:c>
      <x:c r="Q26" s="26" t="n">
        <x:f>J26*E26+K26*G26+L26*F26+M26*H26</x:f>
        <x:v>0.79951171875</x:v>
      </x:c>
      <x:c r="R26" s="26" t="n">
        <x:f>(P26+Q26)/2</x:f>
        <x:v>0.78896484375</x:v>
      </x:c>
      <x:c r="S26" s="26" t="n">
        <x:f>P26-Q26</x:f>
        <x:v>-0.021093750000000133</x:v>
      </x:c>
      <x:c r="T26" s="26" t="n">
        <x:f>(P26-N26)^2+(Q26-O26)^2</x:f>
        <x:v>0.0004660224914550839</x:v>
      </x:c>
    </x:row>
    <x:row r="27">
      <x:c r="A27" t="str">
        <x:v>A</x:v>
      </x:c>
      <x:c r="B27" t="n">
        <x:v>24</x:v>
      </x:c>
      <x:c r="C27" t="str">
        <x:v>Case 1a (BoS), pure</x:v>
      </x:c>
      <x:c r="D27" t="str">
        <x:v>pure</x:v>
      </x:c>
      <x:c r="E27" s="26" t="n">
        <x:v>0.25</x:v>
      </x:c>
      <x:c r="F27" s="26" t="n">
        <x:v>0.6</x:v>
      </x:c>
      <x:c r="G27" s="26" t="n">
        <x:v>1</x:v>
      </x:c>
      <x:c r="H27" s="26" t="n">
        <x:v>0</x:v>
      </x:c>
      <x:c r="I27" t="str">
        <x:v>pi/4</x:v>
      </x:c>
      <x:c r="J27" s="26" t="n">
        <x:f>Raw_pure!G27</x:f>
        <x:v>0.0068359375</x:v>
      </x:c>
      <x:c r="K27" s="26" t="n">
        <x:f>Raw_pure!H27</x:f>
        <x:v>0.4775390625</x:v>
      </x:c>
      <x:c r="L27" s="26" t="n">
        <x:f>Raw_pure!I27</x:f>
        <x:v>0.509765625</x:v>
      </x:c>
      <x:c r="M27" s="26" t="n">
        <x:f>Raw_pure!J27</x:f>
        <x:v>0.005859375</x:v>
      </x:c>
      <x:c r="N27" s="26" t="n">
        <x:v>0.8</x:v>
      </x:c>
      <x:c r="O27" s="26" t="n">
        <x:v>0.8</x:v>
      </x:c>
      <x:c r="P27" s="26" t="n">
        <x:f>J27*E27+K27*F27+L27*G27+M27*H27</x:f>
        <x:v>0.797998046875</x:v>
      </x:c>
      <x:c r="Q27" s="26" t="n">
        <x:f>J27*E27+K27*G27+L27*F27+M27*H27</x:f>
        <x:v>0.785107421875</x:v>
      </x:c>
      <x:c r="R27" s="26" t="n">
        <x:f>(P27+Q27)/2</x:f>
        <x:v>0.791552734375</x:v>
      </x:c>
      <x:c r="S27" s="26" t="n">
        <x:f>P27-Q27</x:f>
        <x:v>0.012890624999999933</x:v>
      </x:c>
      <x:c r="T27" s="26" t="n">
        <x:f>(P27-N27)^2+(Q27-O27)^2</x:f>
        <x:v>0.00022579669952392604</x:v>
      </x:c>
    </x:row>
    <x:row r="28">
      <x:c r="A28" t="str">
        <x:v>A</x:v>
      </x:c>
      <x:c r="B28" t="n">
        <x:v>25</x:v>
      </x:c>
      <x:c r="C28" t="str">
        <x:v>Case 1a (BoS), pure</x:v>
      </x:c>
      <x:c r="D28" t="str">
        <x:v>pure</x:v>
      </x:c>
      <x:c r="E28" s="26" t="n">
        <x:v>0.25</x:v>
      </x:c>
      <x:c r="F28" s="26" t="n">
        <x:v>0.6</x:v>
      </x:c>
      <x:c r="G28" s="26" t="n">
        <x:v>1</x:v>
      </x:c>
      <x:c r="H28" s="26" t="n">
        <x:v>0</x:v>
      </x:c>
      <x:c r="I28" t="str">
        <x:v>pi/4</x:v>
      </x:c>
      <x:c r="J28" s="26" t="n">
        <x:f>Raw_pure!G28</x:f>
        <x:v>0.0068359375</x:v>
      </x:c>
      <x:c r="K28" s="26" t="n">
        <x:f>Raw_pure!H28</x:f>
        <x:v>0.5107421875</x:v>
      </x:c>
      <x:c r="L28" s="26" t="n">
        <x:f>Raw_pure!I28</x:f>
        <x:v>0.474609375</x:v>
      </x:c>
      <x:c r="M28" s="26" t="n">
        <x:f>Raw_pure!J28</x:f>
        <x:v>0.0078125</x:v>
      </x:c>
      <x:c r="N28" s="26" t="n">
        <x:v>0.8</x:v>
      </x:c>
      <x:c r="O28" s="26" t="n">
        <x:v>0.8</x:v>
      </x:c>
      <x:c r="P28" s="26" t="n">
        <x:f>J28*E28+K28*F28+L28*G28+M28*H28</x:f>
        <x:v>0.782763671875</x:v>
      </x:c>
      <x:c r="Q28" s="26" t="n">
        <x:f>J28*E28+K28*G28+L28*F28+M28*H28</x:f>
        <x:v>0.7972167968749999</x:v>
      </x:c>
      <x:c r="R28" s="26" t="n">
        <x:f>(P28+Q28)/2</x:f>
        <x:v>0.7899902343749999</x:v>
      </x:c>
      <x:c r="S28" s="26" t="n">
        <x:f>P28-Q28</x:f>
        <x:v>-0.014453124999999956</x:v>
      </x:c>
      <x:c r="T28" s="26" t="n">
        <x:f>(P28-N28)^2+(Q28-O28)^2</x:f>
        <x:v>0.0003048372268676796</x:v>
      </x:c>
    </x:row>
    <x:row r="29">
      <x:c r="A29" t="str">
        <x:v>A</x:v>
      </x:c>
      <x:c r="B29" t="n">
        <x:v>26</x:v>
      </x:c>
      <x:c r="C29" t="str">
        <x:v>Case 1a (BoS), pure</x:v>
      </x:c>
      <x:c r="D29" t="str">
        <x:v>pure</x:v>
      </x:c>
      <x:c r="E29" s="26" t="n">
        <x:v>0.25</x:v>
      </x:c>
      <x:c r="F29" s="26" t="n">
        <x:v>0.6</x:v>
      </x:c>
      <x:c r="G29" s="26" t="n">
        <x:v>1</x:v>
      </x:c>
      <x:c r="H29" s="26" t="n">
        <x:v>0</x:v>
      </x:c>
      <x:c r="I29" t="str">
        <x:v>pi/4</x:v>
      </x:c>
      <x:c r="J29" s="26" t="n">
        <x:f>Raw_pure!G29</x:f>
        <x:v>0.005859375</x:v>
      </x:c>
      <x:c r="K29" s="26" t="n">
        <x:f>Raw_pure!H29</x:f>
        <x:v>0.5078125</x:v>
      </x:c>
      <x:c r="L29" s="26" t="n">
        <x:f>Raw_pure!I29</x:f>
        <x:v>0.4765625</x:v>
      </x:c>
      <x:c r="M29" s="26" t="n">
        <x:f>Raw_pure!J29</x:f>
        <x:v>0.009765625</x:v>
      </x:c>
      <x:c r="N29" s="26" t="n">
        <x:v>0.8</x:v>
      </x:c>
      <x:c r="O29" s="26" t="n">
        <x:v>0.8</x:v>
      </x:c>
      <x:c r="P29" s="26" t="n">
        <x:f>J29*E29+K29*F29+L29*G29+M29*H29</x:f>
        <x:v>0.78271484375</x:v>
      </x:c>
      <x:c r="Q29" s="26" t="n">
        <x:f>J29*E29+K29*G29+L29*F29+M29*H29</x:f>
        <x:v>0.79521484375</x:v>
      </x:c>
      <x:c r="R29" s="26" t="n">
        <x:f>(P29+Q29)/2</x:f>
        <x:v>0.78896484375</x:v>
      </x:c>
      <x:c r="S29" s="26" t="n">
        <x:f>P29-Q29</x:f>
        <x:v>-0.012499999999999956</x:v>
      </x:c>
      <x:c r="T29" s="26" t="n">
        <x:f>(P29-N29)^2+(Q29-O29)^2</x:f>
        <x:v>0.0003216743469238305</x:v>
      </x:c>
    </x:row>
    <x:row r="30">
      <x:c r="A30" t="str">
        <x:v>A</x:v>
      </x:c>
      <x:c r="B30" t="n">
        <x:v>27</x:v>
      </x:c>
      <x:c r="C30" t="str">
        <x:v>Case 1a (BoS), pure</x:v>
      </x:c>
      <x:c r="D30" t="str">
        <x:v>pure</x:v>
      </x:c>
      <x:c r="E30" s="26" t="n">
        <x:v>0.25</x:v>
      </x:c>
      <x:c r="F30" s="26" t="n">
        <x:v>0.6</x:v>
      </x:c>
      <x:c r="G30" s="26" t="n">
        <x:v>1</x:v>
      </x:c>
      <x:c r="H30" s="26" t="n">
        <x:v>0</x:v>
      </x:c>
      <x:c r="I30" t="str">
        <x:v>pi/4</x:v>
      </x:c>
      <x:c r="J30" s="26" t="n">
        <x:f>Raw_pure!G30</x:f>
        <x:v>0.01171875</x:v>
      </x:c>
      <x:c r="K30" s="26" t="n">
        <x:f>Raw_pure!H30</x:f>
        <x:v>0.494140625</x:v>
      </x:c>
      <x:c r="L30" s="26" t="n">
        <x:f>Raw_pure!I30</x:f>
        <x:v>0.4912109375</x:v>
      </x:c>
      <x:c r="M30" s="26" t="n">
        <x:f>Raw_pure!J30</x:f>
        <x:v>0.0029296875</x:v>
      </x:c>
      <x:c r="N30" s="26" t="n">
        <x:v>0.8</x:v>
      </x:c>
      <x:c r="O30" s="26" t="n">
        <x:v>0.8</x:v>
      </x:c>
      <x:c r="P30" s="26" t="n">
        <x:f>J30*E30+K30*F30+L30*G30+M30*H30</x:f>
        <x:v>0.7906249999999999</x:v>
      </x:c>
      <x:c r="Q30" s="26" t="n">
        <x:f>J30*E30+K30*G30+L30*F30+M30*H30</x:f>
        <x:v>0.791796875</x:v>
      </x:c>
      <x:c r="R30" s="26" t="n">
        <x:f>(P30+Q30)/2</x:f>
        <x:v>0.7912109374999999</x:v>
      </x:c>
      <x:c r="S30" s="26" t="n">
        <x:f>P30-Q30</x:f>
        <x:v>-0.0011718750000000444</x:v>
      </x:c>
      <x:c r="T30" s="26" t="n">
        <x:f>(P30-N30)^2+(Q30-O30)^2</x:f>
        <x:v>0.00015518188476562896</x:v>
      </x:c>
    </x:row>
    <x:row r="31">
      <x:c r="A31" t="str">
        <x:v>A</x:v>
      </x:c>
      <x:c r="B31" t="n">
        <x:v>28</x:v>
      </x:c>
      <x:c r="C31" t="str">
        <x:v>Case 1a (BoS), pure</x:v>
      </x:c>
      <x:c r="D31" t="str">
        <x:v>pure</x:v>
      </x:c>
      <x:c r="E31" s="26" t="n">
        <x:v>0.25</x:v>
      </x:c>
      <x:c r="F31" s="26" t="n">
        <x:v>0.6</x:v>
      </x:c>
      <x:c r="G31" s="26" t="n">
        <x:v>1</x:v>
      </x:c>
      <x:c r="H31" s="26" t="n">
        <x:v>0</x:v>
      </x:c>
      <x:c r="I31" t="str">
        <x:v>pi/4</x:v>
      </x:c>
      <x:c r="J31" s="26" t="n">
        <x:f>Raw_pure!G31</x:f>
        <x:v>0.009765625</x:v>
      </x:c>
      <x:c r="K31" s="26" t="n">
        <x:f>Raw_pure!H31</x:f>
        <x:v>0.484375</x:v>
      </x:c>
      <x:c r="L31" s="26" t="n">
        <x:f>Raw_pure!I31</x:f>
        <x:v>0.494140625</x:v>
      </x:c>
      <x:c r="M31" s="26" t="n">
        <x:f>Raw_pure!J31</x:f>
        <x:v>0.01171875</x:v>
      </x:c>
      <x:c r="N31" s="26" t="n">
        <x:v>0.8</x:v>
      </x:c>
      <x:c r="O31" s="26" t="n">
        <x:v>0.8</x:v>
      </x:c>
      <x:c r="P31" s="26" t="n">
        <x:f>J31*E31+K31*F31+L31*G31+M31*H31</x:f>
        <x:v>0.7872070312499999</x:v>
      </x:c>
      <x:c r="Q31" s="26" t="n">
        <x:f>J31*E31+K31*G31+L31*F31+M31*H31</x:f>
        <x:v>0.7833007812499999</x:v>
      </x:c>
      <x:c r="R31" s="26" t="n">
        <x:f>(P31+Q31)/2</x:f>
        <x:v>0.7852539062499999</x:v>
      </x:c>
      <x:c r="S31" s="26" t="n">
        <x:f>P31-Q31</x:f>
        <x:v>0.00390625</x:v>
      </x:c>
      <x:c r="T31" s="26" t="n">
        <x:f>(P31-N31)^2+(Q31-O31)^2</x:f>
        <x:v>0.000442523956298836</x:v>
      </x:c>
    </x:row>
    <x:row r="32">
      <x:c r="A32" t="str">
        <x:v>A</x:v>
      </x:c>
      <x:c r="B32" t="n">
        <x:v>29</x:v>
      </x:c>
      <x:c r="C32" t="str">
        <x:v>Case 1a (BoS), pure</x:v>
      </x:c>
      <x:c r="D32" t="str">
        <x:v>pure</x:v>
      </x:c>
      <x:c r="E32" s="26" t="n">
        <x:v>0.25</x:v>
      </x:c>
      <x:c r="F32" s="26" t="n">
        <x:v>0.6</x:v>
      </x:c>
      <x:c r="G32" s="26" t="n">
        <x:v>1</x:v>
      </x:c>
      <x:c r="H32" s="26" t="n">
        <x:v>0</x:v>
      </x:c>
      <x:c r="I32" t="str">
        <x:v>pi/4</x:v>
      </x:c>
      <x:c r="J32" s="26" t="n">
        <x:f>Raw_pure!G32</x:f>
        <x:v>0.0078125</x:v>
      </x:c>
      <x:c r="K32" s="26" t="n">
        <x:f>Raw_pure!H32</x:f>
        <x:v>0.4833984375</x:v>
      </x:c>
      <x:c r="L32" s="26" t="n">
        <x:f>Raw_pure!I32</x:f>
        <x:v>0.5</x:v>
      </x:c>
      <x:c r="M32" s="26" t="n">
        <x:f>Raw_pure!J32</x:f>
        <x:v>0.0087890625</x:v>
      </x:c>
      <x:c r="N32" s="26" t="n">
        <x:v>0.8</x:v>
      </x:c>
      <x:c r="O32" s="26" t="n">
        <x:v>0.8</x:v>
      </x:c>
      <x:c r="P32" s="26" t="n">
        <x:f>J32*E32+K32*F32+L32*G32+M32*H32</x:f>
        <x:v>0.7919921875</x:v>
      </x:c>
      <x:c r="Q32" s="26" t="n">
        <x:f>J32*E32+K32*G32+L32*F32+M32*H32</x:f>
        <x:v>0.7853515625</x:v>
      </x:c>
      <x:c r="R32" s="26" t="n">
        <x:f>(P32+Q32)/2</x:f>
        <x:v>0.788671875</x:v>
      </x:c>
      <x:c r="S32" s="26" t="n">
        <x:f>P32-Q32</x:f>
        <x:v>0.006640624999999956</x:v>
      </x:c>
      <x:c r="T32" s="26" t="n">
        <x:f>(P32-N32)^2+(Q32-O32)^2</x:f>
        <x:v>0.0002787017822265632</x:v>
      </x:c>
    </x:row>
    <x:row r="33">
      <x:c r="A33" t="str">
        <x:v>A</x:v>
      </x:c>
      <x:c r="B33" t="n">
        <x:v>30</x:v>
      </x:c>
      <x:c r="C33" t="str">
        <x:v>Case 1a (BoS), pure</x:v>
      </x:c>
      <x:c r="D33" t="str">
        <x:v>pure</x:v>
      </x:c>
      <x:c r="E33" s="26" t="n">
        <x:v>0.25</x:v>
      </x:c>
      <x:c r="F33" s="26" t="n">
        <x:v>0.6</x:v>
      </x:c>
      <x:c r="G33" s="26" t="n">
        <x:v>1</x:v>
      </x:c>
      <x:c r="H33" s="26" t="n">
        <x:v>0</x:v>
      </x:c>
      <x:c r="I33" t="str">
        <x:v>pi/4</x:v>
      </x:c>
      <x:c r="J33" s="26" t="n">
        <x:f>Raw_pure!G33</x:f>
        <x:v>0.0009765625</x:v>
      </x:c>
      <x:c r="K33" s="26" t="n">
        <x:f>Raw_pure!H33</x:f>
        <x:v>0.513671875</x:v>
      </x:c>
      <x:c r="L33" s="26" t="n">
        <x:f>Raw_pure!I33</x:f>
        <x:v>0.4736328125</x:v>
      </x:c>
      <x:c r="M33" s="26" t="n">
        <x:f>Raw_pure!J33</x:f>
        <x:v>0.01171875</x:v>
      </x:c>
      <x:c r="N33" s="26" t="n">
        <x:v>0.8</x:v>
      </x:c>
      <x:c r="O33" s="26" t="n">
        <x:v>0.8</x:v>
      </x:c>
      <x:c r="P33" s="26" t="n">
        <x:f>J33*E33+K33*F33+L33*G33+M33*H33</x:f>
        <x:v>0.7820800781249999</x:v>
      </x:c>
      <x:c r="Q33" s="26" t="n">
        <x:f>J33*E33+K33*G33+L33*F33+M33*H33</x:f>
        <x:v>0.798095703125</x:v>
      </x:c>
      <x:c r="R33" s="26" t="n">
        <x:f>(P33+Q33)/2</x:f>
        <x:v>0.790087890625</x:v>
      </x:c>
      <x:c r="S33" s="26" t="n">
        <x:f>P33-Q33</x:f>
        <x:v>-0.01601562500000009</x:v>
      </x:c>
      <x:c r="T33" s="26" t="n">
        <x:f>(P33-N33)^2+(Q33-O33)^2</x:f>
        <x:v>0.00032474994659424325</x:v>
      </x:c>
    </x:row>
    <x:row r="34">
      <x:c r="A34" t="str">
        <x:v>A</x:v>
      </x:c>
      <x:c r="B34" t="n">
        <x:v>31</x:v>
      </x:c>
      <x:c r="C34" t="str">
        <x:v>Case 1a (BoS), pure</x:v>
      </x:c>
      <x:c r="D34" t="str">
        <x:v>pure</x:v>
      </x:c>
      <x:c r="E34" s="26" t="n">
        <x:v>0.25</x:v>
      </x:c>
      <x:c r="F34" s="26" t="n">
        <x:v>0.6</x:v>
      </x:c>
      <x:c r="G34" s="26" t="n">
        <x:v>1</x:v>
      </x:c>
      <x:c r="H34" s="26" t="n">
        <x:v>0</x:v>
      </x:c>
      <x:c r="I34" t="str">
        <x:v>pi/4</x:v>
      </x:c>
      <x:c r="J34" s="26" t="n">
        <x:f>Raw_pure!G34</x:f>
        <x:v>0.00390625</x:v>
      </x:c>
      <x:c r="K34" s="26" t="n">
        <x:f>Raw_pure!H34</x:f>
        <x:v>0.4912109375</x:v>
      </x:c>
      <x:c r="L34" s="26" t="n">
        <x:f>Raw_pure!I34</x:f>
        <x:v>0.4990234375</x:v>
      </x:c>
      <x:c r="M34" s="26" t="n">
        <x:f>Raw_pure!J34</x:f>
        <x:v>0.005859375</x:v>
      </x:c>
      <x:c r="N34" s="26" t="n">
        <x:v>0.8</x:v>
      </x:c>
      <x:c r="O34" s="26" t="n">
        <x:v>0.8</x:v>
      </x:c>
      <x:c r="P34" s="26" t="n">
        <x:f>J34*E34+K34*F34+L34*G34+M34*H34</x:f>
        <x:v>0.7947265625</x:v>
      </x:c>
      <x:c r="Q34" s="26" t="n">
        <x:f>J34*E34+K34*G34+L34*F34+M34*H34</x:f>
        <x:v>0.7916015624999999</x:v>
      </x:c>
      <x:c r="R34" s="26" t="n">
        <x:f>(P34+Q34)/2</x:f>
        <x:v>0.7931640624999999</x:v>
      </x:c>
      <x:c r="S34" s="26" t="n">
        <x:f>P34-Q34</x:f>
        <x:v>0.0031250000000000444</x:v>
      </x:c>
      <x:c r="T34" s="26" t="n">
        <x:f>(P34-N34)^2+(Q34-O34)^2</x:f>
        <x:v>0.00009834289550781568</x:v>
      </x:c>
    </x:row>
    <x:row r="35">
      <x:c r="A35" t="str">
        <x:v>A</x:v>
      </x:c>
      <x:c r="B35" t="n">
        <x:v>32</x:v>
      </x:c>
      <x:c r="C35" t="str">
        <x:v>Case 1a (BoS), pure</x:v>
      </x:c>
      <x:c r="D35" t="str">
        <x:v>pure</x:v>
      </x:c>
      <x:c r="E35" s="26" t="n">
        <x:v>0.25</x:v>
      </x:c>
      <x:c r="F35" s="26" t="n">
        <x:v>0.6</x:v>
      </x:c>
      <x:c r="G35" s="26" t="n">
        <x:v>1</x:v>
      </x:c>
      <x:c r="H35" s="26" t="n">
        <x:v>0</x:v>
      </x:c>
      <x:c r="I35" t="str">
        <x:v>pi/4</x:v>
      </x:c>
      <x:c r="J35" s="26" t="n">
        <x:f>Raw_pure!G35</x:f>
        <x:v>0.0087890625</x:v>
      </x:c>
      <x:c r="K35" s="26" t="n">
        <x:f>Raw_pure!H35</x:f>
        <x:v>0.46875</x:v>
      </x:c>
      <x:c r="L35" s="26" t="n">
        <x:f>Raw_pure!I35</x:f>
        <x:v>0.515625</x:v>
      </x:c>
      <x:c r="M35" s="26" t="n">
        <x:f>Raw_pure!J35</x:f>
        <x:v>0.0068359375</x:v>
      </x:c>
      <x:c r="N35" s="26" t="n">
        <x:v>0.8</x:v>
      </x:c>
      <x:c r="O35" s="26" t="n">
        <x:v>0.8</x:v>
      </x:c>
      <x:c r="P35" s="26" t="n">
        <x:f>J35*E35+K35*F35+L35*G35+M35*H35</x:f>
        <x:v>0.799072265625</x:v>
      </x:c>
      <x:c r="Q35" s="26" t="n">
        <x:f>J35*E35+K35*G35+L35*F35+M35*H35</x:f>
        <x:v>0.780322265625</x:v>
      </x:c>
      <x:c r="R35" s="26" t="n">
        <x:f>(P35+Q35)/2</x:f>
        <x:v>0.789697265625</x:v>
      </x:c>
      <x:c r="S35" s="26" t="n">
        <x:f>P35-Q35</x:f>
        <x:v>0.018750000000000044</x:v>
      </x:c>
      <x:c r="T35" s="26" t="n">
        <x:f>(P35-N35)^2+(Q35-O35)^2</x:f>
        <x:v>0.00038807392120361687</x:v>
      </x:c>
    </x:row>
    <x:row r="36">
      <x:c r="A36" t="str">
        <x:v>A</x:v>
      </x:c>
      <x:c r="B36" t="n">
        <x:v>33</x:v>
      </x:c>
      <x:c r="C36" t="str">
        <x:v>Case 1a (BoS), pure</x:v>
      </x:c>
      <x:c r="D36" t="str">
        <x:v>pure</x:v>
      </x:c>
      <x:c r="E36" s="26" t="n">
        <x:v>0.25</x:v>
      </x:c>
      <x:c r="F36" s="26" t="n">
        <x:v>0.6</x:v>
      </x:c>
      <x:c r="G36" s="26" t="n">
        <x:v>1</x:v>
      </x:c>
      <x:c r="H36" s="26" t="n">
        <x:v>0</x:v>
      </x:c>
      <x:c r="I36" t="str">
        <x:v>pi/4</x:v>
      </x:c>
      <x:c r="J36" s="26" t="n">
        <x:f>Raw_pure!G36</x:f>
        <x:v>0.0087890625</x:v>
      </x:c>
      <x:c r="K36" s="26" t="n">
        <x:f>Raw_pure!H36</x:f>
        <x:v>0.44921875</x:v>
      </x:c>
      <x:c r="L36" s="26" t="n">
        <x:f>Raw_pure!I36</x:f>
        <x:v>0.533203125</x:v>
      </x:c>
      <x:c r="M36" s="26" t="n">
        <x:f>Raw_pure!J36</x:f>
        <x:v>0.0087890625</x:v>
      </x:c>
      <x:c r="N36" s="26" t="n">
        <x:v>0.8</x:v>
      </x:c>
      <x:c r="O36" s="26" t="n">
        <x:v>0.8</x:v>
      </x:c>
      <x:c r="P36" s="26" t="n">
        <x:f>J36*E36+K36*F36+L36*G36+M36*H36</x:f>
        <x:v>0.804931640625</x:v>
      </x:c>
      <x:c r="Q36" s="26" t="n">
        <x:f>J36*E36+K36*G36+L36*F36+M36*H36</x:f>
        <x:v>0.7713378906249999</x:v>
      </x:c>
      <x:c r="R36" s="26" t="n">
        <x:f>(P36+Q36)/2</x:f>
        <x:v>0.788134765625</x:v>
      </x:c>
      <x:c r="S36" s="26" t="n">
        <x:f>P36-Q36</x:f>
        <x:v>0.03359375000000009</x:v>
      </x:c>
      <x:c r="T36" s="26" t="n">
        <x:f>(P36-N36)^2+(Q36-O36)^2</x:f>
        <x:v>0.0008458375930786204</x:v>
      </x:c>
    </x:row>
    <x:row r="37">
      <x:c r="A37" t="str">
        <x:v>A</x:v>
      </x:c>
      <x:c r="B37" t="n">
        <x:v>34</x:v>
      </x:c>
      <x:c r="C37" t="str">
        <x:v>Case 1a (BoS), pure</x:v>
      </x:c>
      <x:c r="D37" t="str">
        <x:v>pure</x:v>
      </x:c>
      <x:c r="E37" s="26" t="n">
        <x:v>0.25</x:v>
      </x:c>
      <x:c r="F37" s="26" t="n">
        <x:v>0.6</x:v>
      </x:c>
      <x:c r="G37" s="26" t="n">
        <x:v>1</x:v>
      </x:c>
      <x:c r="H37" s="26" t="n">
        <x:v>0</x:v>
      </x:c>
      <x:c r="I37" t="str">
        <x:v>pi/4</x:v>
      </x:c>
      <x:c r="J37" s="26" t="n">
        <x:f>Raw_pure!G37</x:f>
        <x:v>0.0078125</x:v>
      </x:c>
      <x:c r="K37" s="26" t="n">
        <x:f>Raw_pure!H37</x:f>
        <x:v>0.494140625</x:v>
      </x:c>
      <x:c r="L37" s="26" t="n">
        <x:f>Raw_pure!I37</x:f>
        <x:v>0.4912109375</x:v>
      </x:c>
      <x:c r="M37" s="26" t="n">
        <x:f>Raw_pure!J37</x:f>
        <x:v>0.0068359375</x:v>
      </x:c>
      <x:c r="N37" s="26" t="n">
        <x:v>0.8</x:v>
      </x:c>
      <x:c r="O37" s="26" t="n">
        <x:v>0.8</x:v>
      </x:c>
      <x:c r="P37" s="26" t="n">
        <x:f>J37*E37+K37*F37+L37*G37+M37*H37</x:f>
        <x:v>0.7896484374999999</x:v>
      </x:c>
      <x:c r="Q37" s="26" t="n">
        <x:f>J37*E37+K37*G37+L37*F37+M37*H37</x:f>
        <x:v>0.7908203125</x:v>
      </x:c>
      <x:c r="R37" s="26" t="n">
        <x:f>(P37+Q37)/2</x:f>
        <x:v>0.7902343749999999</x:v>
      </x:c>
      <x:c r="S37" s="26" t="n">
        <x:f>P37-Q37</x:f>
        <x:v>-0.0011718750000000444</x:v>
      </x:c>
      <x:c r="T37" s="26" t="n">
        <x:f>(P37-N37)^2+(Q37-O37)^2</x:f>
        <x:v>0.0001914215087890669</x:v>
      </x:c>
    </x:row>
    <x:row r="38">
      <x:c r="A38" t="str">
        <x:v>A</x:v>
      </x:c>
      <x:c r="B38" t="n">
        <x:v>35</x:v>
      </x:c>
      <x:c r="C38" t="str">
        <x:v>Case 1a (BoS), pure</x:v>
      </x:c>
      <x:c r="D38" t="str">
        <x:v>pure</x:v>
      </x:c>
      <x:c r="E38" s="26" t="n">
        <x:v>0.25</x:v>
      </x:c>
      <x:c r="F38" s="26" t="n">
        <x:v>0.6</x:v>
      </x:c>
      <x:c r="G38" s="26" t="n">
        <x:v>1</x:v>
      </x:c>
      <x:c r="H38" s="26" t="n">
        <x:v>0</x:v>
      </x:c>
      <x:c r="I38" t="str">
        <x:v>pi/4</x:v>
      </x:c>
      <x:c r="J38" s="26" t="n">
        <x:f>Raw_pure!G38</x:f>
        <x:v>0.005859375</x:v>
      </x:c>
      <x:c r="K38" s="26" t="n">
        <x:f>Raw_pure!H38</x:f>
        <x:v>0.498046875</x:v>
      </x:c>
      <x:c r="L38" s="26" t="n">
        <x:f>Raw_pure!I38</x:f>
        <x:v>0.4892578125</x:v>
      </x:c>
      <x:c r="M38" s="26" t="n">
        <x:f>Raw_pure!J38</x:f>
        <x:v>0.0068359375</x:v>
      </x:c>
      <x:c r="N38" s="26" t="n">
        <x:v>0.8</x:v>
      </x:c>
      <x:c r="O38" s="26" t="n">
        <x:v>0.8</x:v>
      </x:c>
      <x:c r="P38" s="26" t="n">
        <x:f>J38*E38+K38*F38+L38*G38+M38*H38</x:f>
        <x:v>0.78955078125</x:v>
      </x:c>
      <x:c r="Q38" s="26" t="n">
        <x:f>J38*E38+K38*G38+L38*F38+M38*H38</x:f>
        <x:v>0.7930664062499999</x:v>
      </x:c>
      <x:c r="R38" s="26" t="n">
        <x:f>(P38+Q38)/2</x:f>
        <x:v>0.79130859375</x:v>
      </x:c>
      <x:c r="S38" s="26" t="n">
        <x:f>P38-Q38</x:f>
        <x:v>-0.003515624999999911</x:v>
      </x:c>
      <x:c r="T38" s="26" t="n">
        <x:f>(P38-N38)^2+(Q38-O38)^2</x:f>
        <x:v>0.0001572608947753934</x:v>
      </x:c>
    </x:row>
    <x:row r="39">
      <x:c r="A39" t="str">
        <x:v>A</x:v>
      </x:c>
      <x:c r="B39" t="n">
        <x:v>36</x:v>
      </x:c>
      <x:c r="C39" t="str">
        <x:v>Case 1a (BoS), pure</x:v>
      </x:c>
      <x:c r="D39" t="str">
        <x:v>pure</x:v>
      </x:c>
      <x:c r="E39" s="26" t="n">
        <x:v>0.25</x:v>
      </x:c>
      <x:c r="F39" s="26" t="n">
        <x:v>0.6</x:v>
      </x:c>
      <x:c r="G39" s="26" t="n">
        <x:v>1</x:v>
      </x:c>
      <x:c r="H39" s="26" t="n">
        <x:v>0</x:v>
      </x:c>
      <x:c r="I39" t="str">
        <x:v>pi/4</x:v>
      </x:c>
      <x:c r="J39" s="26" t="n">
        <x:f>Raw_pure!G39</x:f>
        <x:v>0.0087890625</x:v>
      </x:c>
      <x:c r="K39" s="26" t="n">
        <x:f>Raw_pure!H39</x:f>
        <x:v>0.5068359375</x:v>
      </x:c>
      <x:c r="L39" s="26" t="n">
        <x:f>Raw_pure!I39</x:f>
        <x:v>0.4765625</x:v>
      </x:c>
      <x:c r="M39" s="26" t="n">
        <x:f>Raw_pure!J39</x:f>
        <x:v>0.0078125</x:v>
      </x:c>
      <x:c r="N39" s="26" t="n">
        <x:v>0.8</x:v>
      </x:c>
      <x:c r="O39" s="26" t="n">
        <x:v>0.8</x:v>
      </x:c>
      <x:c r="P39" s="26" t="n">
        <x:f>J39*E39+K39*F39+L39*G39+M39*H39</x:f>
        <x:v>0.782861328125</x:v>
      </x:c>
      <x:c r="Q39" s="26" t="n">
        <x:f>J39*E39+K39*G39+L39*F39+M39*H39</x:f>
        <x:v>0.794970703125</x:v>
      </x:c>
      <x:c r="R39" s="26" t="n">
        <x:f>(P39+Q39)/2</x:f>
        <x:v>0.7889160156249999</x:v>
      </x:c>
      <x:c r="S39" s="26" t="n">
        <x:f>P39-Q39</x:f>
        <x:v>-0.012109374999999978</x:v>
      </x:c>
      <x:c r="T39" s="26" t="n">
        <x:f>(P39-N39)^2+(Q39-O39)^2</x:f>
        <x:v>0.00031902790069580396</x:v>
      </x:c>
    </x:row>
    <x:row r="40">
      <x:c r="A40" t="str">
        <x:v>A</x:v>
      </x:c>
      <x:c r="B40" t="n">
        <x:v>37</x:v>
      </x:c>
      <x:c r="C40" t="str">
        <x:v>Case 1a (BoS), pure</x:v>
      </x:c>
      <x:c r="D40" t="str">
        <x:v>pure</x:v>
      </x:c>
      <x:c r="E40" s="26" t="n">
        <x:v>0.25</x:v>
      </x:c>
      <x:c r="F40" s="26" t="n">
        <x:v>0.6</x:v>
      </x:c>
      <x:c r="G40" s="26" t="n">
        <x:v>1</x:v>
      </x:c>
      <x:c r="H40" s="26" t="n">
        <x:v>0</x:v>
      </x:c>
      <x:c r="I40" t="str">
        <x:v>pi/4</x:v>
      </x:c>
      <x:c r="J40" s="26" t="n">
        <x:f>Raw_pure!G40</x:f>
        <x:v>0.0107421875</x:v>
      </x:c>
      <x:c r="K40" s="26" t="n">
        <x:f>Raw_pure!H40</x:f>
        <x:v>0.4970703125</x:v>
      </x:c>
      <x:c r="L40" s="26" t="n">
        <x:f>Raw_pure!I40</x:f>
        <x:v>0.48046875</x:v>
      </x:c>
      <x:c r="M40" s="26" t="n">
        <x:f>Raw_pure!J40</x:f>
        <x:v>0.01171875</x:v>
      </x:c>
      <x:c r="N40" s="26" t="n">
        <x:v>0.8</x:v>
      </x:c>
      <x:c r="O40" s="26" t="n">
        <x:v>0.8</x:v>
      </x:c>
      <x:c r="P40" s="26" t="n">
        <x:f>J40*E40+K40*F40+L40*G40+M40*H40</x:f>
        <x:v>0.781396484375</x:v>
      </x:c>
      <x:c r="Q40" s="26" t="n">
        <x:f>J40*E40+K40*G40+L40*F40+M40*H40</x:f>
        <x:v>0.788037109375</x:v>
      </x:c>
      <x:c r="R40" s="26" t="n">
        <x:f>(P40+Q40)/2</x:f>
        <x:v>0.784716796875</x:v>
      </x:c>
      <x:c r="S40" s="26" t="n">
        <x:f>P40-Q40</x:f>
        <x:v>-0.006640625000000067</x:v>
      </x:c>
      <x:c r="T40" s="26" t="n">
        <x:f>(P40-N40)^2+(Q40-O40)^2</x:f>
        <x:v>0.0004892015457153346</x:v>
      </x:c>
    </x:row>
    <x:row r="41">
      <x:c r="A41" t="str">
        <x:v>A</x:v>
      </x:c>
      <x:c r="B41" t="n">
        <x:v>38</x:v>
      </x:c>
      <x:c r="C41" t="str">
        <x:v>Case 1a (BoS), pure</x:v>
      </x:c>
      <x:c r="D41" t="str">
        <x:v>pure</x:v>
      </x:c>
      <x:c r="E41" s="26" t="n">
        <x:v>0.25</x:v>
      </x:c>
      <x:c r="F41" s="26" t="n">
        <x:v>0.6</x:v>
      </x:c>
      <x:c r="G41" s="26" t="n">
        <x:v>1</x:v>
      </x:c>
      <x:c r="H41" s="26" t="n">
        <x:v>0</x:v>
      </x:c>
      <x:c r="I41" t="str">
        <x:v>pi/4</x:v>
      </x:c>
      <x:c r="J41" s="26" t="n">
        <x:f>Raw_pure!G41</x:f>
        <x:v>0.001953125</x:v>
      </x:c>
      <x:c r="K41" s="26" t="n">
        <x:f>Raw_pure!H41</x:f>
        <x:v>0.48828125</x:v>
      </x:c>
      <x:c r="L41" s="26" t="n">
        <x:f>Raw_pure!I41</x:f>
        <x:v>0.49609375</x:v>
      </x:c>
      <x:c r="M41" s="26" t="n">
        <x:f>Raw_pure!J41</x:f>
        <x:v>0.013671875</x:v>
      </x:c>
      <x:c r="N41" s="26" t="n">
        <x:v>0.8</x:v>
      </x:c>
      <x:c r="O41" s="26" t="n">
        <x:v>0.8</x:v>
      </x:c>
      <x:c r="P41" s="26" t="n">
        <x:f>J41*E41+K41*F41+L41*G41+M41*H41</x:f>
        <x:v>0.78955078125</x:v>
      </x:c>
      <x:c r="Q41" s="26" t="n">
        <x:f>J41*E41+K41*G41+L41*F41+M41*H41</x:f>
        <x:v>0.78642578125</x:v>
      </x:c>
      <x:c r="R41" s="26" t="n">
        <x:f>(P41+Q41)/2</x:f>
        <x:v>0.78798828125</x:v>
      </x:c>
      <x:c r="S41" s="26" t="n">
        <x:f>P41-Q41</x:f>
        <x:v>0.0031250000000000444</x:v>
      </x:c>
      <x:c r="T41" s="26" t="n">
        <x:f>(P41-N41)^2+(Q41-O41)^2</x:f>
        <x:v>0.0002934455871582065</x:v>
      </x:c>
    </x:row>
    <x:row r="42">
      <x:c r="A42" t="str">
        <x:v>A</x:v>
      </x:c>
      <x:c r="B42" t="n">
        <x:v>39</x:v>
      </x:c>
      <x:c r="C42" t="str">
        <x:v>Case 1a (BoS), pure</x:v>
      </x:c>
      <x:c r="D42" t="str">
        <x:v>pure</x:v>
      </x:c>
      <x:c r="E42" s="26" t="n">
        <x:v>0.25</x:v>
      </x:c>
      <x:c r="F42" s="26" t="n">
        <x:v>0.6</x:v>
      </x:c>
      <x:c r="G42" s="26" t="n">
        <x:v>1</x:v>
      </x:c>
      <x:c r="H42" s="26" t="n">
        <x:v>0</x:v>
      </x:c>
      <x:c r="I42" t="str">
        <x:v>pi/4</x:v>
      </x:c>
      <x:c r="J42" s="26" t="n">
        <x:f>Raw_pure!G42</x:f>
        <x:v>0.01171875</x:v>
      </x:c>
      <x:c r="K42" s="26" t="n">
        <x:f>Raw_pure!H42</x:f>
        <x:v>0.490234375</x:v>
      </x:c>
      <x:c r="L42" s="26" t="n">
        <x:f>Raw_pure!I42</x:f>
        <x:v>0.48828125</x:v>
      </x:c>
      <x:c r="M42" s="26" t="n">
        <x:f>Raw_pure!J42</x:f>
        <x:v>0.009765625</x:v>
      </x:c>
      <x:c r="N42" s="26" t="n">
        <x:v>0.8</x:v>
      </x:c>
      <x:c r="O42" s="26" t="n">
        <x:v>0.8</x:v>
      </x:c>
      <x:c r="P42" s="26" t="n">
        <x:f>J42*E42+K42*F42+L42*G42+M42*H42</x:f>
        <x:v>0.7853515625</x:v>
      </x:c>
      <x:c r="Q42" s="26" t="n">
        <x:f>J42*E42+K42*G42+L42*F42+M42*H42</x:f>
        <x:v>0.7861328125</x:v>
      </x:c>
      <x:c r="R42" s="26" t="n">
        <x:f>(P42+Q42)/2</x:f>
        <x:v>0.7857421875</x:v>
      </x:c>
      <x:c r="S42" s="26" t="n">
        <x:f>P42-Q42</x:f>
        <x:v>-0.0007812499999999556</x:v>
      </x:c>
      <x:c r="T42" s="26" t="n">
        <x:f>(P42-N42)^2+(Q42-O42)^2</x:f>
        <x:v>0.00040687561035156373</x:v>
      </x:c>
    </x:row>
    <x:row r="43">
      <x:c r="A43" t="str">
        <x:v>A</x:v>
      </x:c>
      <x:c r="B43" t="n">
        <x:v>40</x:v>
      </x:c>
      <x:c r="C43" t="str">
        <x:v>Case 1a (BoS), pure</x:v>
      </x:c>
      <x:c r="D43" t="str">
        <x:v>pure</x:v>
      </x:c>
      <x:c r="E43" s="26" t="n">
        <x:v>0.25</x:v>
      </x:c>
      <x:c r="F43" s="26" t="n">
        <x:v>0.6</x:v>
      </x:c>
      <x:c r="G43" s="26" t="n">
        <x:v>1</x:v>
      </x:c>
      <x:c r="H43" s="26" t="n">
        <x:v>0</x:v>
      </x:c>
      <x:c r="I43" t="str">
        <x:v>pi/4</x:v>
      </x:c>
      <x:c r="J43" s="26" t="n">
        <x:f>Raw_pure!G43</x:f>
        <x:v>0.0087890625</x:v>
      </x:c>
      <x:c r="K43" s="26" t="n">
        <x:f>Raw_pure!H43</x:f>
        <x:v>0.4873046875</x:v>
      </x:c>
      <x:c r="L43" s="26" t="n">
        <x:f>Raw_pure!I43</x:f>
        <x:v>0.4970703125</x:v>
      </x:c>
      <x:c r="M43" s="26" t="n">
        <x:f>Raw_pure!J43</x:f>
        <x:v>0.0068359375</x:v>
      </x:c>
      <x:c r="N43" s="26" t="n">
        <x:v>0.8</x:v>
      </x:c>
      <x:c r="O43" s="26" t="n">
        <x:v>0.8</x:v>
      </x:c>
      <x:c r="P43" s="26" t="n">
        <x:f>J43*E43+K43*F43+L43*G43+M43*H43</x:f>
        <x:v>0.791650390625</x:v>
      </x:c>
      <x:c r="Q43" s="26" t="n">
        <x:f>J43*E43+K43*G43+L43*F43+M43*H43</x:f>
        <x:v>0.787744140625</x:v>
      </x:c>
      <x:c r="R43" s="26" t="n">
        <x:f>(P43+Q43)/2</x:f>
        <x:v>0.789697265625</x:v>
      </x:c>
      <x:c r="S43" s="26" t="n">
        <x:f>P43-Q43</x:f>
        <x:v>0.00390625</x:v>
      </x:c>
      <x:c r="T43" s="26" t="n">
        <x:f>(P43-N43)^2+(Q43-O43)^2</x:f>
        <x:v>0.000219922065734866</x:v>
      </x:c>
    </x:row>
    <x:row r="44">
      <x:c r="A44" t="str">
        <x:v>A</x:v>
      </x:c>
      <x:c r="B44" t="n">
        <x:v>41</x:v>
      </x:c>
      <x:c r="C44" t="str">
        <x:v>Case 1a (BoS), pure</x:v>
      </x:c>
      <x:c r="D44" t="str">
        <x:v>pure</x:v>
      </x:c>
      <x:c r="E44" s="26" t="n">
        <x:v>0.25</x:v>
      </x:c>
      <x:c r="F44" s="26" t="n">
        <x:v>0.6</x:v>
      </x:c>
      <x:c r="G44" s="26" t="n">
        <x:v>1</x:v>
      </x:c>
      <x:c r="H44" s="26" t="n">
        <x:v>0</x:v>
      </x:c>
      <x:c r="I44" t="str">
        <x:v>pi/4</x:v>
      </x:c>
      <x:c r="J44" s="26" t="n">
        <x:f>Raw_pure!G44</x:f>
        <x:v>0.0087890625</x:v>
      </x:c>
      <x:c r="K44" s="26" t="n">
        <x:f>Raw_pure!H44</x:f>
        <x:v>0.48046875</x:v>
      </x:c>
      <x:c r="L44" s="26" t="n">
        <x:f>Raw_pure!I44</x:f>
        <x:v>0.5048828125</x:v>
      </x:c>
      <x:c r="M44" s="26" t="n">
        <x:f>Raw_pure!J44</x:f>
        <x:v>0.005859375</x:v>
      </x:c>
      <x:c r="N44" s="26" t="n">
        <x:v>0.8</x:v>
      </x:c>
      <x:c r="O44" s="26" t="n">
        <x:v>0.8</x:v>
      </x:c>
      <x:c r="P44" s="26" t="n">
        <x:f>J44*E44+K44*F44+L44*G44+M44*H44</x:f>
        <x:v>0.795361328125</x:v>
      </x:c>
      <x:c r="Q44" s="26" t="n">
        <x:f>J44*E44+K44*G44+L44*F44+M44*H44</x:f>
        <x:v>0.785595703125</x:v>
      </x:c>
      <x:c r="R44" s="26" t="n">
        <x:f>(P44+Q44)/2</x:f>
        <x:v>0.790478515625</x:v>
      </x:c>
      <x:c r="S44" s="26" t="n">
        <x:f>P44-Q44</x:f>
        <x:v>0.009765625</x:v>
      </x:c>
      <x:c r="T44" s="26" t="n">
        <x:f>(P44-N44)^2+(Q44-O44)^2</x:f>
        <x:v>0.00022900104522705078</x:v>
      </x:c>
    </x:row>
    <x:row r="45">
      <x:c r="A45" t="str">
        <x:v>A</x:v>
      </x:c>
      <x:c r="B45" t="n">
        <x:v>42</x:v>
      </x:c>
      <x:c r="C45" t="str">
        <x:v>Case 1a (BoS), pure</x:v>
      </x:c>
      <x:c r="D45" t="str">
        <x:v>pure</x:v>
      </x:c>
      <x:c r="E45" s="26" t="n">
        <x:v>0.25</x:v>
      </x:c>
      <x:c r="F45" s="26" t="n">
        <x:v>0.6</x:v>
      </x:c>
      <x:c r="G45" s="26" t="n">
        <x:v>1</x:v>
      </x:c>
      <x:c r="H45" s="26" t="n">
        <x:v>0</x:v>
      </x:c>
      <x:c r="I45" t="str">
        <x:v>pi/4</x:v>
      </x:c>
      <x:c r="J45" s="26" t="n">
        <x:f>Raw_pure!G45</x:f>
        <x:v>0.005859375</x:v>
      </x:c>
      <x:c r="K45" s="26" t="n">
        <x:f>Raw_pure!H45</x:f>
        <x:v>0.5263671875</x:v>
      </x:c>
      <x:c r="L45" s="26" t="n">
        <x:f>Raw_pure!I45</x:f>
        <x:v>0.458984375</x:v>
      </x:c>
      <x:c r="M45" s="26" t="n">
        <x:f>Raw_pure!J45</x:f>
        <x:v>0.0087890625</x:v>
      </x:c>
      <x:c r="N45" s="26" t="n">
        <x:v>0.8</x:v>
      </x:c>
      <x:c r="O45" s="26" t="n">
        <x:v>0.8</x:v>
      </x:c>
      <x:c r="P45" s="26" t="n">
        <x:f>J45*E45+K45*F45+L45*G45+M45*H45</x:f>
        <x:v>0.77626953125</x:v>
      </x:c>
      <x:c r="Q45" s="26" t="n">
        <x:f>J45*E45+K45*G45+L45*F45+M45*H45</x:f>
        <x:v>0.80322265625</x:v>
      </x:c>
      <x:c r="R45" s="26" t="n">
        <x:f>(P45+Q45)/2</x:f>
        <x:v>0.78974609375</x:v>
      </x:c>
      <x:c r="S45" s="26" t="n">
        <x:f>P45-Q45</x:f>
        <x:v>-0.026953125000000022</x:v>
      </x:c>
      <x:c r="T45" s="26" t="n">
        <x:f>(P45-N45)^2+(Q45-O45)^2</x:f>
        <x:v>0.0005735206604003934</x:v>
      </x:c>
    </x:row>
    <x:row r="46">
      <x:c r="A46" t="str">
        <x:v>A</x:v>
      </x:c>
      <x:c r="B46" t="n">
        <x:v>43</x:v>
      </x:c>
      <x:c r="C46" t="str">
        <x:v>Case 1a (BoS), pure</x:v>
      </x:c>
      <x:c r="D46" t="str">
        <x:v>pure</x:v>
      </x:c>
      <x:c r="E46" s="26" t="n">
        <x:v>0.25</x:v>
      </x:c>
      <x:c r="F46" s="26" t="n">
        <x:v>0.6</x:v>
      </x:c>
      <x:c r="G46" s="26" t="n">
        <x:v>1</x:v>
      </x:c>
      <x:c r="H46" s="26" t="n">
        <x:v>0</x:v>
      </x:c>
      <x:c r="I46" t="str">
        <x:v>pi/4</x:v>
      </x:c>
      <x:c r="J46" s="26" t="n">
        <x:f>Raw_pure!G46</x:f>
        <x:v>0.0048828125</x:v>
      </x:c>
      <x:c r="K46" s="26" t="n">
        <x:f>Raw_pure!H46</x:f>
        <x:v>0.4951171875</x:v>
      </x:c>
      <x:c r="L46" s="26" t="n">
        <x:f>Raw_pure!I46</x:f>
        <x:v>0.4912109375</x:v>
      </x:c>
      <x:c r="M46" s="26" t="n">
        <x:f>Raw_pure!J46</x:f>
        <x:v>0.0087890625</x:v>
      </x:c>
      <x:c r="N46" s="26" t="n">
        <x:v>0.8</x:v>
      </x:c>
      <x:c r="O46" s="26" t="n">
        <x:v>0.8</x:v>
      </x:c>
      <x:c r="P46" s="26" t="n">
        <x:f>J46*E46+K46*F46+L46*G46+M46*H46</x:f>
        <x:v>0.789501953125</x:v>
      </x:c>
      <x:c r="Q46" s="26" t="n">
        <x:f>J46*E46+K46*G46+L46*F46+M46*H46</x:f>
        <x:v>0.791064453125</x:v>
      </x:c>
      <x:c r="R46" s="26" t="n">
        <x:f>(P46+Q46)/2</x:f>
        <x:v>0.790283203125</x:v>
      </x:c>
      <x:c r="S46" s="26" t="n">
        <x:f>P46-Q46</x:f>
        <x:v>-0.0015624999999999112</x:v>
      </x:c>
      <x:c r="T46" s="26" t="n">
        <x:f>(P46-N46)^2+(Q46-O46)^2</x:f>
        <x:v>0.00019005298614502113</x:v>
      </x:c>
    </x:row>
    <x:row r="47">
      <x:c r="A47" t="str">
        <x:v>A</x:v>
      </x:c>
      <x:c r="B47" t="n">
        <x:v>44</x:v>
      </x:c>
      <x:c r="C47" t="str">
        <x:v>Case 1a (BoS), pure</x:v>
      </x:c>
      <x:c r="D47" t="str">
        <x:v>pure</x:v>
      </x:c>
      <x:c r="E47" s="26" t="n">
        <x:v>0.25</x:v>
      </x:c>
      <x:c r="F47" s="26" t="n">
        <x:v>0.6</x:v>
      </x:c>
      <x:c r="G47" s="26" t="n">
        <x:v>1</x:v>
      </x:c>
      <x:c r="H47" s="26" t="n">
        <x:v>0</x:v>
      </x:c>
      <x:c r="I47" t="str">
        <x:v>pi/4</x:v>
      </x:c>
      <x:c r="J47" s="26" t="n">
        <x:f>Raw_pure!G47</x:f>
        <x:v>0.0107421875</x:v>
      </x:c>
      <x:c r="K47" s="26" t="n">
        <x:f>Raw_pure!H47</x:f>
        <x:v>0.486328125</x:v>
      </x:c>
      <x:c r="L47" s="26" t="n">
        <x:f>Raw_pure!I47</x:f>
        <x:v>0.4931640625</x:v>
      </x:c>
      <x:c r="M47" s="26" t="n">
        <x:f>Raw_pure!J47</x:f>
        <x:v>0.009765625</x:v>
      </x:c>
      <x:c r="N47" s="26" t="n">
        <x:v>0.8</x:v>
      </x:c>
      <x:c r="O47" s="26" t="n">
        <x:v>0.8</x:v>
      </x:c>
      <x:c r="P47" s="26" t="n">
        <x:f>J47*E47+K47*F47+L47*G47+M47*H47</x:f>
        <x:v>0.787646484375</x:v>
      </x:c>
      <x:c r="Q47" s="26" t="n">
        <x:f>J47*E47+K47*G47+L47*F47+M47*H47</x:f>
        <x:v>0.784912109375</x:v>
      </x:c>
      <x:c r="R47" s="26" t="n">
        <x:f>(P47+Q47)/2</x:f>
        <x:v>0.786279296875</x:v>
      </x:c>
      <x:c r="S47" s="26" t="n">
        <x:f>P47-Q47</x:f>
        <x:v>0.0027343749999999556</x:v>
      </x:c>
      <x:c r="T47" s="26" t="n">
        <x:f>(P47-N47)^2+(Q47-O47)^2</x:f>
        <x:v>0.0003802537918090856</x:v>
      </x:c>
    </x:row>
    <x:row r="48">
      <x:c r="A48" t="str">
        <x:v>A</x:v>
      </x:c>
      <x:c r="B48" t="n">
        <x:v>45</x:v>
      </x:c>
      <x:c r="C48" t="str">
        <x:v>Case 1a (BoS), pure</x:v>
      </x:c>
      <x:c r="D48" t="str">
        <x:v>pure</x:v>
      </x:c>
      <x:c r="E48" s="26" t="n">
        <x:v>0.25</x:v>
      </x:c>
      <x:c r="F48" s="26" t="n">
        <x:v>0.6</x:v>
      </x:c>
      <x:c r="G48" s="26" t="n">
        <x:v>1</x:v>
      </x:c>
      <x:c r="H48" s="26" t="n">
        <x:v>0</x:v>
      </x:c>
      <x:c r="I48" t="str">
        <x:v>pi/4</x:v>
      </x:c>
      <x:c r="J48" s="26" t="n">
        <x:f>Raw_pure!G48</x:f>
        <x:v>0.0087890625</x:v>
      </x:c>
      <x:c r="K48" s="26" t="n">
        <x:f>Raw_pure!H48</x:f>
        <x:v>0.4931640625</x:v>
      </x:c>
      <x:c r="L48" s="26" t="n">
        <x:f>Raw_pure!I48</x:f>
        <x:v>0.4912109375</x:v>
      </x:c>
      <x:c r="M48" s="26" t="n">
        <x:f>Raw_pure!J48</x:f>
        <x:v>0.0068359375</x:v>
      </x:c>
      <x:c r="N48" s="26" t="n">
        <x:v>0.8</x:v>
      </x:c>
      <x:c r="O48" s="26" t="n">
        <x:v>0.8</x:v>
      </x:c>
      <x:c r="P48" s="26" t="n">
        <x:f>J48*E48+K48*F48+L48*G48+M48*H48</x:f>
        <x:v>0.789306640625</x:v>
      </x:c>
      <x:c r="Q48" s="26" t="n">
        <x:f>J48*E48+K48*G48+L48*F48+M48*H48</x:f>
        <x:v>0.790087890625</x:v>
      </x:c>
      <x:c r="R48" s="26" t="n">
        <x:f>(P48+Q48)/2</x:f>
        <x:v>0.789697265625</x:v>
      </x:c>
      <x:c r="S48" s="26" t="n">
        <x:f>P48-Q48</x:f>
        <x:v>-0.0007812499999999556</x:v>
      </x:c>
      <x:c r="T48" s="26" t="n">
        <x:f>(P48-N48)^2+(Q48-O48)^2</x:f>
        <x:v>0.000212597846984866</x:v>
      </x:c>
    </x:row>
    <x:row r="49">
      <x:c r="A49" t="str">
        <x:v>A</x:v>
      </x:c>
      <x:c r="B49" t="n">
        <x:v>46</x:v>
      </x:c>
      <x:c r="C49" t="str">
        <x:v>Case 1a (BoS), pure</x:v>
      </x:c>
      <x:c r="D49" t="str">
        <x:v>pure</x:v>
      </x:c>
      <x:c r="E49" s="26" t="n">
        <x:v>0.25</x:v>
      </x:c>
      <x:c r="F49" s="26" t="n">
        <x:v>0.6</x:v>
      </x:c>
      <x:c r="G49" s="26" t="n">
        <x:v>1</x:v>
      </x:c>
      <x:c r="H49" s="26" t="n">
        <x:v>0</x:v>
      </x:c>
      <x:c r="I49" t="str">
        <x:v>pi/4</x:v>
      </x:c>
      <x:c r="J49" s="26" t="n">
        <x:f>Raw_pure!G49</x:f>
        <x:v>0.0078125</x:v>
      </x:c>
      <x:c r="K49" s="26" t="n">
        <x:f>Raw_pure!H49</x:f>
        <x:v>0.50390625</x:v>
      </x:c>
      <x:c r="L49" s="26" t="n">
        <x:f>Raw_pure!I49</x:f>
        <x:v>0.4794921875</x:v>
      </x:c>
      <x:c r="M49" s="26" t="n">
        <x:f>Raw_pure!J49</x:f>
        <x:v>0.0087890625</x:v>
      </x:c>
      <x:c r="N49" s="26" t="n">
        <x:v>0.8</x:v>
      </x:c>
      <x:c r="O49" s="26" t="n">
        <x:v>0.8</x:v>
      </x:c>
      <x:c r="P49" s="26" t="n">
        <x:f>J49*E49+K49*F49+L49*G49+M49*H49</x:f>
        <x:v>0.7837890624999999</x:v>
      </x:c>
      <x:c r="Q49" s="26" t="n">
        <x:f>J49*E49+K49*G49+L49*F49+M49*H49</x:f>
        <x:v>0.7935546874999999</x:v>
      </x:c>
      <x:c r="R49" s="26" t="n">
        <x:f>(P49+Q49)/2</x:f>
        <x:v>0.7886718749999999</x:v>
      </x:c>
      <x:c r="S49" s="26" t="n">
        <x:f>P49-Q49</x:f>
        <x:v>-0.009765625</x:v>
      </x:c>
      <x:c r="T49" s="26" t="n">
        <x:f>(P49-N49)^2+(Q49-O49)^2</x:f>
        <x:v>0.0003043365478515686</x:v>
      </x:c>
    </x:row>
    <x:row r="50">
      <x:c r="A50" t="str">
        <x:v>A</x:v>
      </x:c>
      <x:c r="B50" t="n">
        <x:v>47</x:v>
      </x:c>
      <x:c r="C50" t="str">
        <x:v>Case 1a (BoS), pure</x:v>
      </x:c>
      <x:c r="D50" t="str">
        <x:v>pure</x:v>
      </x:c>
      <x:c r="E50" s="26" t="n">
        <x:v>0.25</x:v>
      </x:c>
      <x:c r="F50" s="26" t="n">
        <x:v>0.6</x:v>
      </x:c>
      <x:c r="G50" s="26" t="n">
        <x:v>1</x:v>
      </x:c>
      <x:c r="H50" s="26" t="n">
        <x:v>0</x:v>
      </x:c>
      <x:c r="I50" t="str">
        <x:v>pi/4</x:v>
      </x:c>
      <x:c r="J50" s="26" t="n">
        <x:f>Raw_pure!G50</x:f>
        <x:v>0.0068359375</x:v>
      </x:c>
      <x:c r="K50" s="26" t="n">
        <x:f>Raw_pure!H50</x:f>
        <x:v>0.49609375</x:v>
      </x:c>
      <x:c r="L50" s="26" t="n">
        <x:f>Raw_pure!I50</x:f>
        <x:v>0.490234375</x:v>
      </x:c>
      <x:c r="M50" s="26" t="n">
        <x:f>Raw_pure!J50</x:f>
        <x:v>0.0068359375</x:v>
      </x:c>
      <x:c r="N50" s="26" t="n">
        <x:v>0.8</x:v>
      </x:c>
      <x:c r="O50" s="26" t="n">
        <x:v>0.8</x:v>
      </x:c>
      <x:c r="P50" s="26" t="n">
        <x:f>J50*E50+K50*F50+L50*G50+M50*H50</x:f>
        <x:v>0.789599609375</x:v>
      </x:c>
      <x:c r="Q50" s="26" t="n">
        <x:f>J50*E50+K50*G50+L50*F50+M50*H50</x:f>
        <x:v>0.791943359375</x:v>
      </x:c>
      <x:c r="R50" s="26" t="n">
        <x:f>(P50+Q50)/2</x:f>
        <x:v>0.790771484375</x:v>
      </x:c>
      <x:c r="S50" s="26" t="n">
        <x:f>P50-Q50</x:f>
        <x:v>-0.002343750000000089</x:v>
      </x:c>
      <x:c r="T50" s="26" t="n">
        <x:f>(P50-N50)^2+(Q50-O50)^2</x:f>
        <x:v>0.00017307758331299014</x:v>
      </x:c>
    </x:row>
    <x:row r="51">
      <x:c r="A51" t="str">
        <x:v>A</x:v>
      </x:c>
      <x:c r="B51" t="n">
        <x:v>48</x:v>
      </x:c>
      <x:c r="C51" t="str">
        <x:v>Case 1a (BoS), pure</x:v>
      </x:c>
      <x:c r="D51" t="str">
        <x:v>pure</x:v>
      </x:c>
      <x:c r="E51" s="26" t="n">
        <x:v>0.25</x:v>
      </x:c>
      <x:c r="F51" s="26" t="n">
        <x:v>0.6</x:v>
      </x:c>
      <x:c r="G51" s="26" t="n">
        <x:v>1</x:v>
      </x:c>
      <x:c r="H51" s="26" t="n">
        <x:v>0</x:v>
      </x:c>
      <x:c r="I51" t="str">
        <x:v>pi/4</x:v>
      </x:c>
      <x:c r="J51" s="26" t="n">
        <x:f>Raw_pure!G51</x:f>
        <x:v>0.009765625</x:v>
      </x:c>
      <x:c r="K51" s="26" t="n">
        <x:f>Raw_pure!H51</x:f>
        <x:v>0.4755859375</x:v>
      </x:c>
      <x:c r="L51" s="26" t="n">
        <x:f>Raw_pure!I51</x:f>
        <x:v>0.5048828125</x:v>
      </x:c>
      <x:c r="M51" s="26" t="n">
        <x:f>Raw_pure!J51</x:f>
        <x:v>0.009765625</x:v>
      </x:c>
      <x:c r="N51" s="26" t="n">
        <x:v>0.8</x:v>
      </x:c>
      <x:c r="O51" s="26" t="n">
        <x:v>0.8</x:v>
      </x:c>
      <x:c r="P51" s="26" t="n">
        <x:f>J51*E51+K51*F51+L51*G51+M51*H51</x:f>
        <x:v>0.79267578125</x:v>
      </x:c>
      <x:c r="Q51" s="26" t="n">
        <x:f>J51*E51+K51*G51+L51*F51+M51*H51</x:f>
        <x:v>0.78095703125</x:v>
      </x:c>
      <x:c r="R51" s="26" t="n">
        <x:f>(P51+Q51)/2</x:f>
        <x:v>0.78681640625</x:v>
      </x:c>
      <x:c r="S51" s="26" t="n">
        <x:f>P51-Q51</x:f>
        <x:v>0.01171875</x:v>
      </x:c>
      <x:c r="T51" s="26" t="n">
        <x:f>(P51-N51)^2+(Q51-O51)^2</x:f>
        <x:v>0.0004162788391113281</x:v>
      </x:c>
    </x:row>
    <x:row r="52">
      <x:c r="A52" t="str">
        <x:v>A</x:v>
      </x:c>
      <x:c r="B52" t="n">
        <x:v>49</x:v>
      </x:c>
      <x:c r="C52" t="str">
        <x:v>Case 1a (BoS), pure</x:v>
      </x:c>
      <x:c r="D52" t="str">
        <x:v>pure</x:v>
      </x:c>
      <x:c r="E52" s="26" t="n">
        <x:v>0.25</x:v>
      </x:c>
      <x:c r="F52" s="26" t="n">
        <x:v>0.6</x:v>
      </x:c>
      <x:c r="G52" s="26" t="n">
        <x:v>1</x:v>
      </x:c>
      <x:c r="H52" s="26" t="n">
        <x:v>0</x:v>
      </x:c>
      <x:c r="I52" t="str">
        <x:v>pi/4</x:v>
      </x:c>
      <x:c r="J52" s="26" t="n">
        <x:f>Raw_pure!G52</x:f>
        <x:v>0.009765625</x:v>
      </x:c>
      <x:c r="K52" s="26" t="n">
        <x:f>Raw_pure!H52</x:f>
        <x:v>0.4921875</x:v>
      </x:c>
      <x:c r="L52" s="26" t="n">
        <x:f>Raw_pure!I52</x:f>
        <x:v>0.490234375</x:v>
      </x:c>
      <x:c r="M52" s="26" t="n">
        <x:f>Raw_pure!J52</x:f>
        <x:v>0.0078125</x:v>
      </x:c>
      <x:c r="N52" s="26" t="n">
        <x:v>0.8</x:v>
      </x:c>
      <x:c r="O52" s="26" t="n">
        <x:v>0.8</x:v>
      </x:c>
      <x:c r="P52" s="26" t="n">
        <x:f>J52*E52+K52*F52+L52*G52+M52*H52</x:f>
        <x:v>0.78798828125</x:v>
      </x:c>
      <x:c r="Q52" s="26" t="n">
        <x:f>J52*E52+K52*G52+L52*F52+M52*H52</x:f>
        <x:v>0.78876953125</x:v>
      </x:c>
      <x:c r="R52" s="26" t="n">
        <x:f>(P52+Q52)/2</x:f>
        <x:v>0.78837890625</x:v>
      </x:c>
      <x:c r="S52" s="26" t="n">
        <x:f>P52-Q52</x:f>
        <x:v>-0.0007812500000000666</x:v>
      </x:c>
      <x:c r="T52" s="26" t="n">
        <x:f>(P52-N52)^2+(Q52-O52)^2</x:f>
        <x:v>0.0002704048156738297</x:v>
      </x:c>
    </x:row>
    <x:row r="53">
      <x:c r="A53" t="str">
        <x:v>A</x:v>
      </x:c>
      <x:c r="B53" t="n">
        <x:v>50</x:v>
      </x:c>
      <x:c r="C53" t="str">
        <x:v>Case 1a (BoS), pure</x:v>
      </x:c>
      <x:c r="D53" t="str">
        <x:v>pure</x:v>
      </x:c>
      <x:c r="E53" s="26" t="n">
        <x:v>0.25</x:v>
      </x:c>
      <x:c r="F53" s="26" t="n">
        <x:v>0.6</x:v>
      </x:c>
      <x:c r="G53" s="26" t="n">
        <x:v>1</x:v>
      </x:c>
      <x:c r="H53" s="26" t="n">
        <x:v>0</x:v>
      </x:c>
      <x:c r="I53" t="str">
        <x:v>pi/4</x:v>
      </x:c>
      <x:c r="J53" s="26" t="n">
        <x:f>Raw_pure!G53</x:f>
        <x:v>0.0087890625</x:v>
      </x:c>
      <x:c r="K53" s="26" t="n">
        <x:f>Raw_pure!H53</x:f>
        <x:v>0.482421875</x:v>
      </x:c>
      <x:c r="L53" s="26" t="n">
        <x:f>Raw_pure!I53</x:f>
        <x:v>0.498046875</x:v>
      </x:c>
      <x:c r="M53" s="26" t="n">
        <x:f>Raw_pure!J53</x:f>
        <x:v>0.0107421875</x:v>
      </x:c>
      <x:c r="N53" s="26" t="n">
        <x:v>0.8</x:v>
      </x:c>
      <x:c r="O53" s="26" t="n">
        <x:v>0.8</x:v>
      </x:c>
      <x:c r="P53" s="26" t="n">
        <x:f>J53*E53+K53*F53+L53*G53+M53*H53</x:f>
        <x:v>0.789697265625</x:v>
      </x:c>
      <x:c r="Q53" s="26" t="n">
        <x:f>J53*E53+K53*G53+L53*F53+M53*H53</x:f>
        <x:v>0.783447265625</x:v>
      </x:c>
      <x:c r="R53" s="26" t="n">
        <x:f>(P53+Q53)/2</x:f>
        <x:v>0.786572265625</x:v>
      </x:c>
      <x:c r="S53" s="26" t="n">
        <x:f>P53-Q53</x:f>
        <x:v>0.006249999999999978</x:v>
      </x:c>
      <x:c r="T53" s="26" t="n">
        <x:f>(P53-N53)^2+(Q53-O53)^2</x:f>
        <x:v>0.0003801393508911161</x:v>
      </x:c>
    </x:row>
    <x:row r="54">
      <x:c r="A54" t="str">
        <x:v>A</x:v>
      </x:c>
      <x:c r="B54" t="n">
        <x:v>51</x:v>
      </x:c>
      <x:c r="C54" t="str">
        <x:v>Case 1a (BoS), pure</x:v>
      </x:c>
      <x:c r="D54" t="str">
        <x:v>pure</x:v>
      </x:c>
      <x:c r="E54" s="26" t="n">
        <x:v>0.25</x:v>
      </x:c>
      <x:c r="F54" s="26" t="n">
        <x:v>0.6</x:v>
      </x:c>
      <x:c r="G54" s="26" t="n">
        <x:v>1</x:v>
      </x:c>
      <x:c r="H54" s="26" t="n">
        <x:v>0</x:v>
      </x:c>
      <x:c r="I54" t="str">
        <x:v>pi/4</x:v>
      </x:c>
      <x:c r="J54" s="26" t="n">
        <x:f>Raw_pure!G54</x:f>
        <x:v>0.00390625</x:v>
      </x:c>
      <x:c r="K54" s="26" t="n">
        <x:f>Raw_pure!H54</x:f>
        <x:v>0.4736328125</x:v>
      </x:c>
      <x:c r="L54" s="26" t="n">
        <x:f>Raw_pure!I54</x:f>
        <x:v>0.5107421875</x:v>
      </x:c>
      <x:c r="M54" s="26" t="n">
        <x:f>Raw_pure!J54</x:f>
        <x:v>0.01171875</x:v>
      </x:c>
      <x:c r="N54" s="26" t="n">
        <x:v>0.8</x:v>
      </x:c>
      <x:c r="O54" s="26" t="n">
        <x:v>0.8</x:v>
      </x:c>
      <x:c r="P54" s="26" t="n">
        <x:f>J54*E54+K54*F54+L54*G54+M54*H54</x:f>
        <x:v>0.7958984375</x:v>
      </x:c>
      <x:c r="Q54" s="26" t="n">
        <x:f>J54*E54+K54*G54+L54*F54+M54*H54</x:f>
        <x:v>0.7810546875</x:v>
      </x:c>
      <x:c r="R54" s="26" t="n">
        <x:f>(P54+Q54)/2</x:f>
        <x:v>0.7884765625</x:v>
      </x:c>
      <x:c r="S54" s="26" t="n">
        <x:f>P54-Q54</x:f>
        <x:v>0.014843750000000044</x:v>
      </x:c>
      <x:c r="T54" s="26" t="n">
        <x:f>(P54-N54)^2+(Q54-O54)^2</x:f>
        <x:v>0.00037574768066406624</x:v>
      </x:c>
    </x:row>
    <x:row r="55">
      <x:c r="A55" t="str">
        <x:v>A</x:v>
      </x:c>
      <x:c r="B55" t="n">
        <x:v>52</x:v>
      </x:c>
      <x:c r="C55" t="str">
        <x:v>Case 1a (BoS), pure</x:v>
      </x:c>
      <x:c r="D55" t="str">
        <x:v>pure</x:v>
      </x:c>
      <x:c r="E55" s="26" t="n">
        <x:v>0.25</x:v>
      </x:c>
      <x:c r="F55" s="26" t="n">
        <x:v>0.6</x:v>
      </x:c>
      <x:c r="G55" s="26" t="n">
        <x:v>1</x:v>
      </x:c>
      <x:c r="H55" s="26" t="n">
        <x:v>0</x:v>
      </x:c>
      <x:c r="I55" t="str">
        <x:v>pi/4</x:v>
      </x:c>
      <x:c r="J55" s="26" t="n">
        <x:f>Raw_pure!G55</x:f>
        <x:v>0.0107421875</x:v>
      </x:c>
      <x:c r="K55" s="26" t="n">
        <x:f>Raw_pure!H55</x:f>
        <x:v>0.5185546875</x:v>
      </x:c>
      <x:c r="L55" s="26" t="n">
        <x:f>Raw_pure!I55</x:f>
        <x:v>0.4619140625</x:v>
      </x:c>
      <x:c r="M55" s="26" t="n">
        <x:f>Raw_pure!J55</x:f>
        <x:v>0.0087890625</x:v>
      </x:c>
      <x:c r="N55" s="26" t="n">
        <x:v>0.8</x:v>
      </x:c>
      <x:c r="O55" s="26" t="n">
        <x:v>0.8</x:v>
      </x:c>
      <x:c r="P55" s="26" t="n">
        <x:f>J55*E55+K55*F55+L55*G55+M55*H55</x:f>
        <x:v>0.7757324218749999</x:v>
      </x:c>
      <x:c r="Q55" s="26" t="n">
        <x:f>J55*E55+K55*G55+L55*F55+M55*H55</x:f>
        <x:v>0.798388671875</x:v>
      </x:c>
      <x:c r="R55" s="26" t="n">
        <x:f>(P55+Q55)/2</x:f>
        <x:v>0.7870605468749999</x:v>
      </x:c>
      <x:c r="S55" s="26" t="n">
        <x:f>P55-Q55</x:f>
        <x:v>-0.022656250000000044</x:v>
      </x:c>
      <x:c r="T55" s="26" t="n">
        <x:f>(P55-N55)^2+(Q55-O55)^2</x:f>
        <x:v>0.0005915117263794013</x:v>
      </x:c>
    </x:row>
    <x:row r="56">
      <x:c r="A56" t="str">
        <x:v>A</x:v>
      </x:c>
      <x:c r="B56" t="n">
        <x:v>53</x:v>
      </x:c>
      <x:c r="C56" t="str">
        <x:v>Case 1a (BoS), pure</x:v>
      </x:c>
      <x:c r="D56" t="str">
        <x:v>pure</x:v>
      </x:c>
      <x:c r="E56" s="26" t="n">
        <x:v>0.25</x:v>
      </x:c>
      <x:c r="F56" s="26" t="n">
        <x:v>0.6</x:v>
      </x:c>
      <x:c r="G56" s="26" t="n">
        <x:v>1</x:v>
      </x:c>
      <x:c r="H56" s="26" t="n">
        <x:v>0</x:v>
      </x:c>
      <x:c r="I56" t="str">
        <x:v>pi/4</x:v>
      </x:c>
      <x:c r="J56" s="26" t="n">
        <x:f>Raw_pure!G56</x:f>
        <x:v>0.0078125</x:v>
      </x:c>
      <x:c r="K56" s="26" t="n">
        <x:f>Raw_pure!H56</x:f>
        <x:v>0.4931640625</x:v>
      </x:c>
      <x:c r="L56" s="26" t="n">
        <x:f>Raw_pure!I56</x:f>
        <x:v>0.4892578125</x:v>
      </x:c>
      <x:c r="M56" s="26" t="n">
        <x:f>Raw_pure!J56</x:f>
        <x:v>0.009765625</x:v>
      </x:c>
      <x:c r="N56" s="26" t="n">
        <x:v>0.8</x:v>
      </x:c>
      <x:c r="O56" s="26" t="n">
        <x:v>0.8</x:v>
      </x:c>
      <x:c r="P56" s="26" t="n">
        <x:f>J56*E56+K56*F56+L56*G56+M56*H56</x:f>
        <x:v>0.787109375</x:v>
      </x:c>
      <x:c r="Q56" s="26" t="n">
        <x:f>J56*E56+K56*G56+L56*F56+M56*H56</x:f>
        <x:v>0.7886718749999999</x:v>
      </x:c>
      <x:c r="R56" s="26" t="n">
        <x:f>(P56+Q56)/2</x:f>
        <x:v>0.787890625</x:v>
      </x:c>
      <x:c r="S56" s="26" t="n">
        <x:f>P56-Q56</x:f>
        <x:v>-0.0015624999999999112</x:v>
      </x:c>
      <x:c r="T56" s="26" t="n">
        <x:f>(P56-N56)^2+(Q56-O56)^2</x:f>
        <x:v>0.0002944946289062542</x:v>
      </x:c>
    </x:row>
    <x:row r="57">
      <x:c r="A57" t="str">
        <x:v>A</x:v>
      </x:c>
      <x:c r="B57" t="n">
        <x:v>54</x:v>
      </x:c>
      <x:c r="C57" t="str">
        <x:v>Case 1a (BoS), pure</x:v>
      </x:c>
      <x:c r="D57" t="str">
        <x:v>pure</x:v>
      </x:c>
      <x:c r="E57" s="26" t="n">
        <x:v>0.25</x:v>
      </x:c>
      <x:c r="F57" s="26" t="n">
        <x:v>0.6</x:v>
      </x:c>
      <x:c r="G57" s="26" t="n">
        <x:v>1</x:v>
      </x:c>
      <x:c r="H57" s="26" t="n">
        <x:v>0</x:v>
      </x:c>
      <x:c r="I57" t="str">
        <x:v>pi/4</x:v>
      </x:c>
      <x:c r="J57" s="26" t="n">
        <x:f>Raw_pure!G57</x:f>
        <x:v>0.0087890625</x:v>
      </x:c>
      <x:c r="K57" s="26" t="n">
        <x:f>Raw_pure!H57</x:f>
        <x:v>0.458984375</x:v>
      </x:c>
      <x:c r="L57" s="26" t="n">
        <x:f>Raw_pure!I57</x:f>
        <x:v>0.525390625</x:v>
      </x:c>
      <x:c r="M57" s="26" t="n">
        <x:f>Raw_pure!J57</x:f>
        <x:v>0.0068359375</x:v>
      </x:c>
      <x:c r="N57" s="26" t="n">
        <x:v>0.8</x:v>
      </x:c>
      <x:c r="O57" s="26" t="n">
        <x:v>0.8</x:v>
      </x:c>
      <x:c r="P57" s="26" t="n">
        <x:f>J57*E57+K57*F57+L57*G57+M57*H57</x:f>
        <x:v>0.802978515625</x:v>
      </x:c>
      <x:c r="Q57" s="26" t="n">
        <x:f>J57*E57+K57*G57+L57*F57+M57*H57</x:f>
        <x:v>0.776416015625</x:v>
      </x:c>
      <x:c r="R57" s="26" t="n">
        <x:f>(P57+Q57)/2</x:f>
        <x:v>0.789697265625</x:v>
      </x:c>
      <x:c r="S57" s="26" t="n">
        <x:f>P57-Q57</x:f>
        <x:v>0.026562500000000044</x:v>
      </x:c>
      <x:c r="T57" s="26" t="n">
        <x:f>(P57-N57)^2+(Q57-O57)^2</x:f>
        <x:v>0.0005650758743286172</x:v>
      </x:c>
    </x:row>
    <x:row r="58">
      <x:c r="A58" t="str">
        <x:v>A</x:v>
      </x:c>
      <x:c r="B58" t="n">
        <x:v>55</x:v>
      </x:c>
      <x:c r="C58" t="str">
        <x:v>Case 1a (BoS), pure</x:v>
      </x:c>
      <x:c r="D58" t="str">
        <x:v>pure</x:v>
      </x:c>
      <x:c r="E58" s="26" t="n">
        <x:v>0.25</x:v>
      </x:c>
      <x:c r="F58" s="26" t="n">
        <x:v>0.6</x:v>
      </x:c>
      <x:c r="G58" s="26" t="n">
        <x:v>1</x:v>
      </x:c>
      <x:c r="H58" s="26" t="n">
        <x:v>0</x:v>
      </x:c>
      <x:c r="I58" t="str">
        <x:v>pi/4</x:v>
      </x:c>
      <x:c r="J58" s="26" t="n">
        <x:f>Raw_pure!G58</x:f>
        <x:v>0.0107421875</x:v>
      </x:c>
      <x:c r="K58" s="26" t="n">
        <x:f>Raw_pure!H58</x:f>
        <x:v>0.5</x:v>
      </x:c>
      <x:c r="L58" s="26" t="n">
        <x:f>Raw_pure!I58</x:f>
        <x:v>0.486328125</x:v>
      </x:c>
      <x:c r="M58" s="26" t="n">
        <x:f>Raw_pure!J58</x:f>
        <x:v>0.0029296875</x:v>
      </x:c>
      <x:c r="N58" s="26" t="n">
        <x:v>0.8</x:v>
      </x:c>
      <x:c r="O58" s="26" t="n">
        <x:v>0.8</x:v>
      </x:c>
      <x:c r="P58" s="26" t="n">
        <x:f>J58*E58+K58*F58+L58*G58+M58*H58</x:f>
        <x:v>0.789013671875</x:v>
      </x:c>
      <x:c r="Q58" s="26" t="n">
        <x:f>J58*E58+K58*G58+L58*F58+M58*H58</x:f>
        <x:v>0.794482421875</x:v>
      </x:c>
      <x:c r="R58" s="26" t="n">
        <x:f>(P58+Q58)/2</x:f>
        <x:v>0.791748046875</x:v>
      </x:c>
      <x:c r="S58" s="26" t="n">
        <x:f>P58-Q58</x:f>
        <x:v>-0.005468749999999911</x:v>
      </x:c>
      <x:c r="T58" s="26" t="n">
        <x:f>(P58-N58)^2+(Q58-O58)^2</x:f>
        <x:v>0.00015114307403564552</x:v>
      </x:c>
    </x:row>
    <x:row r="59">
      <x:c r="A59" t="str">
        <x:v>A</x:v>
      </x:c>
      <x:c r="B59" t="n">
        <x:v>56</x:v>
      </x:c>
      <x:c r="C59" t="str">
        <x:v>Case 1a (BoS), pure</x:v>
      </x:c>
      <x:c r="D59" t="str">
        <x:v>pure</x:v>
      </x:c>
      <x:c r="E59" s="26" t="n">
        <x:v>0.25</x:v>
      </x:c>
      <x:c r="F59" s="26" t="n">
        <x:v>0.6</x:v>
      </x:c>
      <x:c r="G59" s="26" t="n">
        <x:v>1</x:v>
      </x:c>
      <x:c r="H59" s="26" t="n">
        <x:v>0</x:v>
      </x:c>
      <x:c r="I59" t="str">
        <x:v>pi/4</x:v>
      </x:c>
      <x:c r="J59" s="26" t="n">
        <x:f>Raw_pure!G59</x:f>
        <x:v>0.0087890625</x:v>
      </x:c>
      <x:c r="K59" s="26" t="n">
        <x:f>Raw_pure!H59</x:f>
        <x:v>0.4599609375</x:v>
      </x:c>
      <x:c r="L59" s="26" t="n">
        <x:f>Raw_pure!I59</x:f>
        <x:v>0.5224609375</x:v>
      </x:c>
      <x:c r="M59" s="26" t="n">
        <x:f>Raw_pure!J59</x:f>
        <x:v>0.0087890625</x:v>
      </x:c>
      <x:c r="N59" s="26" t="n">
        <x:v>0.8</x:v>
      </x:c>
      <x:c r="O59" s="26" t="n">
        <x:v>0.8</x:v>
      </x:c>
      <x:c r="P59" s="26" t="n">
        <x:f>J59*E59+K59*F59+L59*G59+M59*H59</x:f>
        <x:v>0.8006347656249999</x:v>
      </x:c>
      <x:c r="Q59" s="26" t="n">
        <x:f>J59*E59+K59*G59+L59*F59+M59*H59</x:f>
        <x:v>0.775634765625</x:v>
      </x:c>
      <x:c r="R59" s="26" t="n">
        <x:f>(P59+Q59)/2</x:f>
        <x:v>0.788134765625</x:v>
      </x:c>
      <x:c r="S59" s="26" t="n">
        <x:f>P59-Q59</x:f>
        <x:v>0.02499999999999991</x:v>
      </x:c>
      <x:c r="T59" s="26" t="n">
        <x:f>(P59-N59)^2+(Q59-O59)^2</x:f>
        <x:v>0.0005940675735473652</x:v>
      </x:c>
    </x:row>
    <x:row r="60">
      <x:c r="A60" t="str">
        <x:v>A</x:v>
      </x:c>
      <x:c r="B60" t="n">
        <x:v>57</x:v>
      </x:c>
      <x:c r="C60" t="str">
        <x:v>Case 1a (BoS), pure</x:v>
      </x:c>
      <x:c r="D60" t="str">
        <x:v>pure</x:v>
      </x:c>
      <x:c r="E60" s="26" t="n">
        <x:v>0.25</x:v>
      </x:c>
      <x:c r="F60" s="26" t="n">
        <x:v>0.6</x:v>
      </x:c>
      <x:c r="G60" s="26" t="n">
        <x:v>1</x:v>
      </x:c>
      <x:c r="H60" s="26" t="n">
        <x:v>0</x:v>
      </x:c>
      <x:c r="I60" t="str">
        <x:v>pi/4</x:v>
      </x:c>
      <x:c r="J60" s="26" t="n">
        <x:f>Raw_pure!G60</x:f>
        <x:v>0.01171875</x:v>
      </x:c>
      <x:c r="K60" s="26" t="n">
        <x:f>Raw_pure!H60</x:f>
        <x:v>0.4765625</x:v>
      </x:c>
      <x:c r="L60" s="26" t="n">
        <x:f>Raw_pure!I60</x:f>
        <x:v>0.50390625</x:v>
      </x:c>
      <x:c r="M60" s="26" t="n">
        <x:f>Raw_pure!J60</x:f>
        <x:v>0.0078125</x:v>
      </x:c>
      <x:c r="N60" s="26" t="n">
        <x:v>0.8</x:v>
      </x:c>
      <x:c r="O60" s="26" t="n">
        <x:v>0.8</x:v>
      </x:c>
      <x:c r="P60" s="26" t="n">
        <x:f>J60*E60+K60*F60+L60*G60+M60*H60</x:f>
        <x:v>0.7927734375</x:v>
      </x:c>
      <x:c r="Q60" s="26" t="n">
        <x:f>J60*E60+K60*G60+L60*F60+M60*H60</x:f>
        <x:v>0.7818359374999999</x:v>
      </x:c>
      <x:c r="R60" s="26" t="n">
        <x:f>(P60+Q60)/2</x:f>
        <x:v>0.7873046874999999</x:v>
      </x:c>
      <x:c r="S60" s="26" t="n">
        <x:f>P60-Q60</x:f>
        <x:v>0.010937500000000044</x:v>
      </x:c>
      <x:c r="T60" s="26" t="n">
        <x:f>(P60-N60)^2+(Q60-O60)^2</x:f>
        <x:v>0.00038215637207031865</x:v>
      </x:c>
    </x:row>
    <x:row r="61">
      <x:c r="A61" t="str">
        <x:v>A</x:v>
      </x:c>
      <x:c r="B61" t="n">
        <x:v>58</x:v>
      </x:c>
      <x:c r="C61" t="str">
        <x:v>Case 1a (BoS), pure</x:v>
      </x:c>
      <x:c r="D61" t="str">
        <x:v>pure</x:v>
      </x:c>
      <x:c r="E61" s="26" t="n">
        <x:v>0.25</x:v>
      </x:c>
      <x:c r="F61" s="26" t="n">
        <x:v>0.6</x:v>
      </x:c>
      <x:c r="G61" s="26" t="n">
        <x:v>1</x:v>
      </x:c>
      <x:c r="H61" s="26" t="n">
        <x:v>0</x:v>
      </x:c>
      <x:c r="I61" t="str">
        <x:v>pi/4</x:v>
      </x:c>
      <x:c r="J61" s="26" t="n">
        <x:f>Raw_pure!G61</x:f>
        <x:v>0.009765625</x:v>
      </x:c>
      <x:c r="K61" s="26" t="n">
        <x:f>Raw_pure!H61</x:f>
        <x:v>0.4794921875</x:v>
      </x:c>
      <x:c r="L61" s="26" t="n">
        <x:f>Raw_pure!I61</x:f>
        <x:v>0.5048828125</x:v>
      </x:c>
      <x:c r="M61" s="26" t="n">
        <x:f>Raw_pure!J61</x:f>
        <x:v>0.005859375</x:v>
      </x:c>
      <x:c r="N61" s="26" t="n">
        <x:v>0.8</x:v>
      </x:c>
      <x:c r="O61" s="26" t="n">
        <x:v>0.8</x:v>
      </x:c>
      <x:c r="P61" s="26" t="n">
        <x:f>J61*E61+K61*F61+L61*G61+M61*H61</x:f>
        <x:v>0.7950195312499999</x:v>
      </x:c>
      <x:c r="Q61" s="26" t="n">
        <x:f>J61*E61+K61*G61+L61*F61+M61*H61</x:f>
        <x:v>0.78486328125</x:v>
      </x:c>
      <x:c r="R61" s="26" t="n">
        <x:f>(P61+Q61)/2</x:f>
        <x:v>0.78994140625</x:v>
      </x:c>
      <x:c r="S61" s="26" t="n">
        <x:f>P61-Q61</x:f>
        <x:v>0.010156249999999867</x:v>
      </x:c>
      <x:c r="T61" s="26" t="n">
        <x:f>(P61-N61)^2+(Q61-O61)^2</x:f>
        <x:v>0.00025392532348632947</x:v>
      </x:c>
    </x:row>
    <x:row r="62">
      <x:c r="A62" t="str">
        <x:v>A</x:v>
      </x:c>
      <x:c r="B62" t="n">
        <x:v>59</x:v>
      </x:c>
      <x:c r="C62" t="str">
        <x:v>Case 1a (BoS), pure</x:v>
      </x:c>
      <x:c r="D62" t="str">
        <x:v>pure</x:v>
      </x:c>
      <x:c r="E62" s="26" t="n">
        <x:v>0.25</x:v>
      </x:c>
      <x:c r="F62" s="26" t="n">
        <x:v>0.6</x:v>
      </x:c>
      <x:c r="G62" s="26" t="n">
        <x:v>1</x:v>
      </x:c>
      <x:c r="H62" s="26" t="n">
        <x:v>0</x:v>
      </x:c>
      <x:c r="I62" t="str">
        <x:v>pi/4</x:v>
      </x:c>
      <x:c r="J62" s="26" t="n">
        <x:f>Raw_pure!G62</x:f>
        <x:v>0.0107421875</x:v>
      </x:c>
      <x:c r="K62" s="26" t="n">
        <x:f>Raw_pure!H62</x:f>
        <x:v>0.4736328125</x:v>
      </x:c>
      <x:c r="L62" s="26" t="n">
        <x:f>Raw_pure!I62</x:f>
        <x:v>0.5068359375</x:v>
      </x:c>
      <x:c r="M62" s="26" t="n">
        <x:f>Raw_pure!J62</x:f>
        <x:v>0.0087890625</x:v>
      </x:c>
      <x:c r="N62" s="26" t="n">
        <x:v>0.8</x:v>
      </x:c>
      <x:c r="O62" s="26" t="n">
        <x:v>0.8</x:v>
      </x:c>
      <x:c r="P62" s="26" t="n">
        <x:f>J62*E62+K62*F62+L62*G62+M62*H62</x:f>
        <x:v>0.793701171875</x:v>
      </x:c>
      <x:c r="Q62" s="26" t="n">
        <x:f>J62*E62+K62*G62+L62*F62+M62*H62</x:f>
        <x:v>0.780419921875</x:v>
      </x:c>
      <x:c r="R62" s="26" t="n">
        <x:f>(P62+Q62)/2</x:f>
        <x:v>0.787060546875</x:v>
      </x:c>
      <x:c r="S62" s="26" t="n">
        <x:f>P62-Q62</x:f>
        <x:v>0.013281250000000022</x:v>
      </x:c>
      <x:c r="T62" s="26" t="n">
        <x:f>(P62-N62)^2+(Q62-O62)^2</x:f>
        <x:v>0.0004230546951293977</x:v>
      </x:c>
    </x:row>
    <x:row r="63">
      <x:c r="A63" t="str">
        <x:v>A</x:v>
      </x:c>
      <x:c r="B63" t="n">
        <x:v>60</x:v>
      </x:c>
      <x:c r="C63" t="str">
        <x:v>Case 1a (BoS), pure</x:v>
      </x:c>
      <x:c r="D63" t="str">
        <x:v>pure</x:v>
      </x:c>
      <x:c r="E63" s="26" t="n">
        <x:v>0.25</x:v>
      </x:c>
      <x:c r="F63" s="26" t="n">
        <x:v>0.6</x:v>
      </x:c>
      <x:c r="G63" s="26" t="n">
        <x:v>1</x:v>
      </x:c>
      <x:c r="H63" s="26" t="n">
        <x:v>0</x:v>
      </x:c>
      <x:c r="I63" t="str">
        <x:v>pi/4</x:v>
      </x:c>
      <x:c r="J63" s="26" t="n">
        <x:f>Raw_pure!G63</x:f>
        <x:v>0.005859375</x:v>
      </x:c>
      <x:c r="K63" s="26" t="n">
        <x:f>Raw_pure!H63</x:f>
        <x:v>0.505859375</x:v>
      </x:c>
      <x:c r="L63" s="26" t="n">
        <x:f>Raw_pure!I63</x:f>
        <x:v>0.4775390625</x:v>
      </x:c>
      <x:c r="M63" s="26" t="n">
        <x:f>Raw_pure!J63</x:f>
        <x:v>0.0107421875</x:v>
      </x:c>
      <x:c r="N63" s="26" t="n">
        <x:v>0.8</x:v>
      </x:c>
      <x:c r="O63" s="26" t="n">
        <x:v>0.8</x:v>
      </x:c>
      <x:c r="P63" s="26" t="n">
        <x:f>J63*E63+K63*F63+L63*G63+M63*H63</x:f>
        <x:v>0.78251953125</x:v>
      </x:c>
      <x:c r="Q63" s="26" t="n">
        <x:f>J63*E63+K63*G63+L63*F63+M63*H63</x:f>
        <x:v>0.79384765625</x:v>
      </x:c>
      <x:c r="R63" s="26" t="n">
        <x:f>(P63+Q63)/2</x:f>
        <x:v>0.7881835937499999</x:v>
      </x:c>
      <x:c r="S63" s="26" t="n">
        <x:f>P63-Q63</x:f>
        <x:v>-0.011328125000000022</x:v>
      </x:c>
      <x:c r="T63" s="26" t="n">
        <x:f>(P63-N63)^2+(Q63-O63)^2</x:f>
        <x:v>0.00034341812133789455</x:v>
      </x:c>
    </x:row>
    <x:row r="64">
      <x:c r="A64" t="str">
        <x:v>A</x:v>
      </x:c>
      <x:c r="B64" t="n">
        <x:v>61</x:v>
      </x:c>
      <x:c r="C64" t="str">
        <x:v>Case 1a (BoS), pure</x:v>
      </x:c>
      <x:c r="D64" t="str">
        <x:v>pure</x:v>
      </x:c>
      <x:c r="E64" s="26" t="n">
        <x:v>0.25</x:v>
      </x:c>
      <x:c r="F64" s="26" t="n">
        <x:v>0.6</x:v>
      </x:c>
      <x:c r="G64" s="26" t="n">
        <x:v>1</x:v>
      </x:c>
      <x:c r="H64" s="26" t="n">
        <x:v>0</x:v>
      </x:c>
      <x:c r="I64" t="str">
        <x:v>pi/4</x:v>
      </x:c>
      <x:c r="J64" s="26" t="n">
        <x:f>Raw_pure!G64</x:f>
        <x:v>0.0126953125</x:v>
      </x:c>
      <x:c r="K64" s="26" t="n">
        <x:f>Raw_pure!H64</x:f>
        <x:v>0.4765625</x:v>
      </x:c>
      <x:c r="L64" s="26" t="n">
        <x:f>Raw_pure!I64</x:f>
        <x:v>0.50390625</x:v>
      </x:c>
      <x:c r="M64" s="26" t="n">
        <x:f>Raw_pure!J64</x:f>
        <x:v>0.0068359375</x:v>
      </x:c>
      <x:c r="N64" s="26" t="n">
        <x:v>0.8</x:v>
      </x:c>
      <x:c r="O64" s="26" t="n">
        <x:v>0.8</x:v>
      </x:c>
      <x:c r="P64" s="26" t="n">
        <x:f>J64*E64+K64*F64+L64*G64+M64*H64</x:f>
        <x:v>0.793017578125</x:v>
      </x:c>
      <x:c r="Q64" s="26" t="n">
        <x:f>J64*E64+K64*G64+L64*F64+M64*H64</x:f>
        <x:v>0.7820800781249999</x:v>
      </x:c>
      <x:c r="R64" s="26" t="n">
        <x:f>(P64+Q64)/2</x:f>
        <x:v>0.7875488281249999</x:v>
      </x:c>
      <x:c r="S64" s="26" t="n">
        <x:f>P64-Q64</x:f>
        <x:v>0.010937500000000044</x:v>
      </x:c>
      <x:c r="T64" s="26" t="n">
        <x:f>(P64-N64)^2+(Q64-O64)^2</x:f>
        <x:v>0.0003698778152465881</x:v>
      </x:c>
    </x:row>
    <x:row r="65">
      <x:c r="A65" t="str">
        <x:v>A</x:v>
      </x:c>
      <x:c r="B65" t="n">
        <x:v>62</x:v>
      </x:c>
      <x:c r="C65" t="str">
        <x:v>Case 1a (BoS), pure</x:v>
      </x:c>
      <x:c r="D65" t="str">
        <x:v>pure</x:v>
      </x:c>
      <x:c r="E65" s="26" t="n">
        <x:v>0.25</x:v>
      </x:c>
      <x:c r="F65" s="26" t="n">
        <x:v>0.6</x:v>
      </x:c>
      <x:c r="G65" s="26" t="n">
        <x:v>1</x:v>
      </x:c>
      <x:c r="H65" s="26" t="n">
        <x:v>0</x:v>
      </x:c>
      <x:c r="I65" t="str">
        <x:v>pi/4</x:v>
      </x:c>
      <x:c r="J65" s="26" t="n">
        <x:f>Raw_pure!G65</x:f>
        <x:v>0.0078125</x:v>
      </x:c>
      <x:c r="K65" s="26" t="n">
        <x:f>Raw_pure!H65</x:f>
        <x:v>0.48828125</x:v>
      </x:c>
      <x:c r="L65" s="26" t="n">
        <x:f>Raw_pure!I65</x:f>
        <x:v>0.4951171875</x:v>
      </x:c>
      <x:c r="M65" s="26" t="n">
        <x:f>Raw_pure!J65</x:f>
        <x:v>0.0087890625</x:v>
      </x:c>
      <x:c r="N65" s="26" t="n">
        <x:v>0.8</x:v>
      </x:c>
      <x:c r="O65" s="26" t="n">
        <x:v>0.8</x:v>
      </x:c>
      <x:c r="P65" s="26" t="n">
        <x:f>J65*E65+K65*F65+L65*G65+M65*H65</x:f>
        <x:v>0.7900390625</x:v>
      </x:c>
      <x:c r="Q65" s="26" t="n">
        <x:f>J65*E65+K65*G65+L65*F65+M65*H65</x:f>
        <x:v>0.7873046875</x:v>
      </x:c>
      <x:c r="R65" s="26" t="n">
        <x:f>(P65+Q65)/2</x:f>
        <x:v>0.788671875</x:v>
      </x:c>
      <x:c r="S65" s="26" t="n">
        <x:f>P65-Q65</x:f>
        <x:v>0.0027343749999999556</x:v>
      </x:c>
      <x:c r="T65" s="26" t="n">
        <x:f>(P65-N65)^2+(Q65-O65)^2</x:f>
        <x:v>0.0002603912353515634</x:v>
      </x:c>
    </x:row>
    <x:row r="66">
      <x:c r="A66" t="str">
        <x:v>A</x:v>
      </x:c>
      <x:c r="B66" t="n">
        <x:v>63</x:v>
      </x:c>
      <x:c r="C66" t="str">
        <x:v>Case 1a (BoS), pure</x:v>
      </x:c>
      <x:c r="D66" t="str">
        <x:v>pure</x:v>
      </x:c>
      <x:c r="E66" s="26" t="n">
        <x:v>0.25</x:v>
      </x:c>
      <x:c r="F66" s="26" t="n">
        <x:v>0.6</x:v>
      </x:c>
      <x:c r="G66" s="26" t="n">
        <x:v>1</x:v>
      </x:c>
      <x:c r="H66" s="26" t="n">
        <x:v>0</x:v>
      </x:c>
      <x:c r="I66" t="str">
        <x:v>pi/4</x:v>
      </x:c>
      <x:c r="J66" s="26" t="n">
        <x:f>Raw_pure!G66</x:f>
        <x:v>0.005859375</x:v>
      </x:c>
      <x:c r="K66" s="26" t="n">
        <x:f>Raw_pure!H66</x:f>
        <x:v>0.4833984375</x:v>
      </x:c>
      <x:c r="L66" s="26" t="n">
        <x:f>Raw_pure!I66</x:f>
        <x:v>0.5068359375</x:v>
      </x:c>
      <x:c r="M66" s="26" t="n">
        <x:f>Raw_pure!J66</x:f>
        <x:v>0.00390625</x:v>
      </x:c>
      <x:c r="N66" s="26" t="n">
        <x:v>0.8</x:v>
      </x:c>
      <x:c r="O66" s="26" t="n">
        <x:v>0.8</x:v>
      </x:c>
      <x:c r="P66" s="26" t="n">
        <x:f>J66*E66+K66*F66+L66*G66+M66*H66</x:f>
        <x:v>0.79833984375</x:v>
      </x:c>
      <x:c r="Q66" s="26" t="n">
        <x:f>J66*E66+K66*G66+L66*F66+M66*H66</x:f>
        <x:v>0.78896484375</x:v>
      </x:c>
      <x:c r="R66" s="26" t="n">
        <x:f>(P66+Q66)/2</x:f>
        <x:v>0.79365234375</x:v>
      </x:c>
      <x:c r="S66" s="26" t="n">
        <x:f>P66-Q66</x:f>
        <x:v>0.009375000000000022</x:v>
      </x:c>
      <x:c r="T66" s="26" t="n">
        <x:f>(P66-N66)^2+(Q66-O66)^2</x:f>
        <x:v>0.00012453079223632974</x:v>
      </x:c>
    </x:row>
    <x:row r="67">
      <x:c r="A67" t="str">
        <x:v>A</x:v>
      </x:c>
      <x:c r="B67" t="n">
        <x:v>64</x:v>
      </x:c>
      <x:c r="C67" t="str">
        <x:v>Case 1a (BoS), pure</x:v>
      </x:c>
      <x:c r="D67" t="str">
        <x:v>pure</x:v>
      </x:c>
      <x:c r="E67" s="26" t="n">
        <x:v>0.25</x:v>
      </x:c>
      <x:c r="F67" s="26" t="n">
        <x:v>0.6</x:v>
      </x:c>
      <x:c r="G67" s="26" t="n">
        <x:v>1</x:v>
      </x:c>
      <x:c r="H67" s="26" t="n">
        <x:v>0</x:v>
      </x:c>
      <x:c r="I67" t="str">
        <x:v>pi/4</x:v>
      </x:c>
      <x:c r="J67" s="26" t="n">
        <x:f>Raw_pure!G67</x:f>
        <x:v>0.0068359375</x:v>
      </x:c>
      <x:c r="K67" s="26" t="n">
        <x:f>Raw_pure!H67</x:f>
        <x:v>0.494140625</x:v>
      </x:c>
      <x:c r="L67" s="26" t="n">
        <x:f>Raw_pure!I67</x:f>
        <x:v>0.4931640625</x:v>
      </x:c>
      <x:c r="M67" s="26" t="n">
        <x:f>Raw_pure!J67</x:f>
        <x:v>0.005859375</x:v>
      </x:c>
      <x:c r="N67" s="26" t="n">
        <x:v>0.8</x:v>
      </x:c>
      <x:c r="O67" s="26" t="n">
        <x:v>0.8</x:v>
      </x:c>
      <x:c r="P67" s="26" t="n">
        <x:f>J67*E67+K67*F67+L67*G67+M67*H67</x:f>
        <x:v>0.7913574218749999</x:v>
      </x:c>
      <x:c r="Q67" s="26" t="n">
        <x:f>J67*E67+K67*G67+L67*F67+M67*H67</x:f>
        <x:v>0.791748046875</x:v>
      </x:c>
      <x:c r="R67" s="26" t="n">
        <x:f>(P67+Q67)/2</x:f>
        <x:v>0.791552734375</x:v>
      </x:c>
      <x:c r="S67" s="26" t="n">
        <x:f>P67-Q67</x:f>
        <x:v>-0.0003906250000000888</x:v>
      </x:c>
      <x:c r="T67" s="26" t="n">
        <x:f>(P67-N67)^2+(Q67-O67)^2</x:f>
        <x:v>0.00014278888702392884</x:v>
      </x:c>
    </x:row>
    <x:row r="68">
      <x:c r="A68" t="str">
        <x:v>A</x:v>
      </x:c>
      <x:c r="B68" t="n">
        <x:v>65</x:v>
      </x:c>
      <x:c r="C68" t="str">
        <x:v>Case 1a (BoS), pure</x:v>
      </x:c>
      <x:c r="D68" t="str">
        <x:v>pure</x:v>
      </x:c>
      <x:c r="E68" s="26" t="n">
        <x:v>0.25</x:v>
      </x:c>
      <x:c r="F68" s="26" t="n">
        <x:v>0.6</x:v>
      </x:c>
      <x:c r="G68" s="26" t="n">
        <x:v>1</x:v>
      </x:c>
      <x:c r="H68" s="26" t="n">
        <x:v>0</x:v>
      </x:c>
      <x:c r="I68" t="str">
        <x:v>pi/4</x:v>
      </x:c>
      <x:c r="J68" s="26" t="n">
        <x:f>Raw_pure!G68</x:f>
        <x:v>0.00390625</x:v>
      </x:c>
      <x:c r="K68" s="26" t="n">
        <x:f>Raw_pure!H68</x:f>
        <x:v>0.4921875</x:v>
      </x:c>
      <x:c r="L68" s="26" t="n">
        <x:f>Raw_pure!I68</x:f>
        <x:v>0.4990234375</x:v>
      </x:c>
      <x:c r="M68" s="26" t="n">
        <x:f>Raw_pure!J68</x:f>
        <x:v>0.0048828125</x:v>
      </x:c>
      <x:c r="N68" s="26" t="n">
        <x:v>0.8</x:v>
      </x:c>
      <x:c r="O68" s="26" t="n">
        <x:v>0.8</x:v>
      </x:c>
      <x:c r="P68" s="26" t="n">
        <x:f>J68*E68+K68*F68+L68*G68+M68*H68</x:f>
        <x:v>0.7953125</x:v>
      </x:c>
      <x:c r="Q68" s="26" t="n">
        <x:f>J68*E68+K68*G68+L68*F68+M68*H68</x:f>
        <x:v>0.7925781249999999</x:v>
      </x:c>
      <x:c r="R68" s="26" t="n">
        <x:f>(P68+Q68)/2</x:f>
        <x:v>0.7939453125</x:v>
      </x:c>
      <x:c r="S68" s="26" t="n">
        <x:f>P68-Q68</x:f>
        <x:v>0.0027343750000000666</x:v>
      </x:c>
      <x:c r="T68" s="26" t="n">
        <x:f>(P68-N68)^2+(Q68-O68)^2</x:f>
        <x:v>0.0000770568847656276</x:v>
      </x:c>
    </x:row>
    <x:row r="69">
      <x:c r="A69" t="str">
        <x:v>A</x:v>
      </x:c>
      <x:c r="B69" t="n">
        <x:v>66</x:v>
      </x:c>
      <x:c r="C69" t="str">
        <x:v>Case 1a (BoS), pure</x:v>
      </x:c>
      <x:c r="D69" t="str">
        <x:v>pure</x:v>
      </x:c>
      <x:c r="E69" s="26" t="n">
        <x:v>0.25</x:v>
      </x:c>
      <x:c r="F69" s="26" t="n">
        <x:v>0.6</x:v>
      </x:c>
      <x:c r="G69" s="26" t="n">
        <x:v>1</x:v>
      </x:c>
      <x:c r="H69" s="26" t="n">
        <x:v>0</x:v>
      </x:c>
      <x:c r="I69" t="str">
        <x:v>pi/4</x:v>
      </x:c>
      <x:c r="J69" s="26" t="n">
        <x:f>Raw_pure!G69</x:f>
        <x:v>0.0087890625</x:v>
      </x:c>
      <x:c r="K69" s="26" t="n">
        <x:f>Raw_pure!H69</x:f>
        <x:v>0.50390625</x:v>
      </x:c>
      <x:c r="L69" s="26" t="n">
        <x:f>Raw_pure!I69</x:f>
        <x:v>0.4755859375</x:v>
      </x:c>
      <x:c r="M69" s="26" t="n">
        <x:f>Raw_pure!J69</x:f>
        <x:v>0.01171875</x:v>
      </x:c>
      <x:c r="N69" s="26" t="n">
        <x:v>0.8</x:v>
      </x:c>
      <x:c r="O69" s="26" t="n">
        <x:v>0.8</x:v>
      </x:c>
      <x:c r="P69" s="26" t="n">
        <x:f>J69*E69+K69*F69+L69*G69+M69*H69</x:f>
        <x:v>0.7801269531249999</x:v>
      </x:c>
      <x:c r="Q69" s="26" t="n">
        <x:f>J69*E69+K69*G69+L69*F69+M69*H69</x:f>
        <x:v>0.791455078125</x:v>
      </x:c>
      <x:c r="R69" s="26" t="n">
        <x:f>(P69+Q69)/2</x:f>
        <x:v>0.785791015625</x:v>
      </x:c>
      <x:c r="S69" s="26" t="n">
        <x:f>P69-Q69</x:f>
        <x:v>-0.011328125000000133</x:v>
      </x:c>
      <x:c r="T69" s="26" t="n">
        <x:f>(P69-N69)^2+(Q69-O69)^2</x:f>
        <x:v>0.0004679536819458061</x:v>
      </x:c>
    </x:row>
    <x:row r="70">
      <x:c r="A70" t="str">
        <x:v>A</x:v>
      </x:c>
      <x:c r="B70" t="n">
        <x:v>67</x:v>
      </x:c>
      <x:c r="C70" t="str">
        <x:v>Case 1a (BoS), pure</x:v>
      </x:c>
      <x:c r="D70" t="str">
        <x:v>pure</x:v>
      </x:c>
      <x:c r="E70" s="26" t="n">
        <x:v>0.25</x:v>
      </x:c>
      <x:c r="F70" s="26" t="n">
        <x:v>0.6</x:v>
      </x:c>
      <x:c r="G70" s="26" t="n">
        <x:v>1</x:v>
      </x:c>
      <x:c r="H70" s="26" t="n">
        <x:v>0</x:v>
      </x:c>
      <x:c r="I70" t="str">
        <x:v>pi/4</x:v>
      </x:c>
      <x:c r="J70" s="26" t="n">
        <x:f>Raw_pure!G70</x:f>
        <x:v>0.0126953125</x:v>
      </x:c>
      <x:c r="K70" s="26" t="n">
        <x:f>Raw_pure!H70</x:f>
        <x:v>0.490234375</x:v>
      </x:c>
      <x:c r="L70" s="26" t="n">
        <x:f>Raw_pure!I70</x:f>
        <x:v>0.486328125</x:v>
      </x:c>
      <x:c r="M70" s="26" t="n">
        <x:f>Raw_pure!J70</x:f>
        <x:v>0.0107421875</x:v>
      </x:c>
      <x:c r="N70" s="26" t="n">
        <x:v>0.8</x:v>
      </x:c>
      <x:c r="O70" s="26" t="n">
        <x:v>0.8</x:v>
      </x:c>
      <x:c r="P70" s="26" t="n">
        <x:f>J70*E70+K70*F70+L70*G70+M70*H70</x:f>
        <x:v>0.783642578125</x:v>
      </x:c>
      <x:c r="Q70" s="26" t="n">
        <x:f>J70*E70+K70*G70+L70*F70+M70*H70</x:f>
        <x:v>0.785205078125</x:v>
      </x:c>
      <x:c r="R70" s="26" t="n">
        <x:f>(P70+Q70)/2</x:f>
        <x:v>0.784423828125</x:v>
      </x:c>
      <x:c r="S70" s="26" t="n">
        <x:f>P70-Q70</x:f>
        <x:v>-0.0015624999999999112</x:v>
      </x:c>
      <x:c r="T70" s="26" t="n">
        <x:f>(P70-N70)^2+(Q70-O70)^2</x:f>
        <x:v>0.00048645496368408467</x:v>
      </x:c>
    </x:row>
    <x:row r="71">
      <x:c r="A71" t="str">
        <x:v>A</x:v>
      </x:c>
      <x:c r="B71" t="n">
        <x:v>68</x:v>
      </x:c>
      <x:c r="C71" t="str">
        <x:v>Case 1a (BoS), pure</x:v>
      </x:c>
      <x:c r="D71" t="str">
        <x:v>pure</x:v>
      </x:c>
      <x:c r="E71" s="26" t="n">
        <x:v>0.25</x:v>
      </x:c>
      <x:c r="F71" s="26" t="n">
        <x:v>0.6</x:v>
      </x:c>
      <x:c r="G71" s="26" t="n">
        <x:v>1</x:v>
      </x:c>
      <x:c r="H71" s="26" t="n">
        <x:v>0</x:v>
      </x:c>
      <x:c r="I71" t="str">
        <x:v>pi/4</x:v>
      </x:c>
      <x:c r="J71" s="26" t="n">
        <x:f>Raw_pure!G71</x:f>
        <x:v>0.0078125</x:v>
      </x:c>
      <x:c r="K71" s="26" t="n">
        <x:f>Raw_pure!H71</x:f>
        <x:v>0.4814453125</x:v>
      </x:c>
      <x:c r="L71" s="26" t="n">
        <x:f>Raw_pure!I71</x:f>
        <x:v>0.5048828125</x:v>
      </x:c>
      <x:c r="M71" s="26" t="n">
        <x:f>Raw_pure!J71</x:f>
        <x:v>0.005859375</x:v>
      </x:c>
      <x:c r="N71" s="26" t="n">
        <x:v>0.8</x:v>
      </x:c>
      <x:c r="O71" s="26" t="n">
        <x:v>0.8</x:v>
      </x:c>
      <x:c r="P71" s="26" t="n">
        <x:f>J71*E71+K71*F71+L71*G71+M71*H71</x:f>
        <x:v>0.795703125</x:v>
      </x:c>
      <x:c r="Q71" s="26" t="n">
        <x:f>J71*E71+K71*G71+L71*F71+M71*H71</x:f>
        <x:v>0.786328125</x:v>
      </x:c>
      <x:c r="R71" s="26" t="n">
        <x:f>(P71+Q71)/2</x:f>
        <x:v>0.791015625</x:v>
      </x:c>
      <x:c r="S71" s="26" t="n">
        <x:f>P71-Q71</x:f>
        <x:v>0.009374999999999911</x:v>
      </x:c>
      <x:c r="T71" s="26" t="n">
        <x:f>(P71-N71)^2+(Q71-O71)^2</x:f>
        <x:v>0.00020538330078125077</x:v>
      </x:c>
    </x:row>
    <x:row r="72">
      <x:c r="A72" t="str">
        <x:v>A</x:v>
      </x:c>
      <x:c r="B72" t="n">
        <x:v>69</x:v>
      </x:c>
      <x:c r="C72" t="str">
        <x:v>Case 1a (BoS), pure</x:v>
      </x:c>
      <x:c r="D72" t="str">
        <x:v>pure</x:v>
      </x:c>
      <x:c r="E72" s="26" t="n">
        <x:v>0.25</x:v>
      </x:c>
      <x:c r="F72" s="26" t="n">
        <x:v>0.6</x:v>
      </x:c>
      <x:c r="G72" s="26" t="n">
        <x:v>1</x:v>
      </x:c>
      <x:c r="H72" s="26" t="n">
        <x:v>0</x:v>
      </x:c>
      <x:c r="I72" t="str">
        <x:v>pi/4</x:v>
      </x:c>
      <x:c r="J72" s="26" t="n">
        <x:f>Raw_pure!G72</x:f>
        <x:v>0.0078125</x:v>
      </x:c>
      <x:c r="K72" s="26" t="n">
        <x:f>Raw_pure!H72</x:f>
        <x:v>0.5048828125</x:v>
      </x:c>
      <x:c r="L72" s="26" t="n">
        <x:f>Raw_pure!I72</x:f>
        <x:v>0.4794921875</x:v>
      </x:c>
      <x:c r="M72" s="26" t="n">
        <x:f>Raw_pure!J72</x:f>
        <x:v>0.0078125</x:v>
      </x:c>
      <x:c r="N72" s="26" t="n">
        <x:v>0.8</x:v>
      </x:c>
      <x:c r="O72" s="26" t="n">
        <x:v>0.8</x:v>
      </x:c>
      <x:c r="P72" s="26" t="n">
        <x:f>J72*E72+K72*F72+L72*G72+M72*H72</x:f>
        <x:v>0.784375</x:v>
      </x:c>
      <x:c r="Q72" s="26" t="n">
        <x:f>J72*E72+K72*G72+L72*F72+M72*H72</x:f>
        <x:v>0.7945312499999999</x:v>
      </x:c>
      <x:c r="R72" s="26" t="n">
        <x:f>(P72+Q72)/2</x:f>
        <x:v>0.789453125</x:v>
      </x:c>
      <x:c r="S72" s="26" t="n">
        <x:f>P72-Q72</x:f>
        <x:v>-0.010156249999999867</x:v>
      </x:c>
      <x:c r="T72" s="26" t="n">
        <x:f>(P72-N72)^2+(Q72-O72)^2</x:f>
        <x:v>0.0002740478515625015</x:v>
      </x:c>
    </x:row>
    <x:row r="73">
      <x:c r="A73" t="str">
        <x:v>A</x:v>
      </x:c>
      <x:c r="B73" t="n">
        <x:v>70</x:v>
      </x:c>
      <x:c r="C73" t="str">
        <x:v>Case 1a (BoS), pure</x:v>
      </x:c>
      <x:c r="D73" t="str">
        <x:v>pure</x:v>
      </x:c>
      <x:c r="E73" s="26" t="n">
        <x:v>0.25</x:v>
      </x:c>
      <x:c r="F73" s="26" t="n">
        <x:v>0.6</x:v>
      </x:c>
      <x:c r="G73" s="26" t="n">
        <x:v>1</x:v>
      </x:c>
      <x:c r="H73" s="26" t="n">
        <x:v>0</x:v>
      </x:c>
      <x:c r="I73" t="str">
        <x:v>pi/4</x:v>
      </x:c>
      <x:c r="J73" s="26" t="n">
        <x:f>Raw_pure!G73</x:f>
        <x:v>0.0078125</x:v>
      </x:c>
      <x:c r="K73" s="26" t="n">
        <x:f>Raw_pure!H73</x:f>
        <x:v>0.494140625</x:v>
      </x:c>
      <x:c r="L73" s="26" t="n">
        <x:f>Raw_pure!I73</x:f>
        <x:v>0.4892578125</x:v>
      </x:c>
      <x:c r="M73" s="26" t="n">
        <x:f>Raw_pure!J73</x:f>
        <x:v>0.0087890625</x:v>
      </x:c>
      <x:c r="N73" s="26" t="n">
        <x:v>0.8</x:v>
      </x:c>
      <x:c r="O73" s="26" t="n">
        <x:v>0.8</x:v>
      </x:c>
      <x:c r="P73" s="26" t="n">
        <x:f>J73*E73+K73*F73+L73*G73+M73*H73</x:f>
        <x:v>0.7876953124999999</x:v>
      </x:c>
      <x:c r="Q73" s="26" t="n">
        <x:f>J73*E73+K73*G73+L73*F73+M73*H73</x:f>
        <x:v>0.7896484374999999</x:v>
      </x:c>
      <x:c r="R73" s="26" t="n">
        <x:f>(P73+Q73)/2</x:f>
        <x:v>0.7886718749999999</x:v>
      </x:c>
      <x:c r="S73" s="26" t="n">
        <x:f>P73-Q73</x:f>
        <x:v>-0.001953125</x:v>
      </x:c>
      <x:c r="T73" s="26" t="n">
        <x:f>(P73-N73)^2+(Q73-O73)^2</x:f>
        <x:v>0.0002585601806640685</x:v>
      </x:c>
    </x:row>
    <x:row r="74">
      <x:c r="A74" t="str">
        <x:v>A</x:v>
      </x:c>
      <x:c r="B74" t="n">
        <x:v>71</x:v>
      </x:c>
      <x:c r="C74" t="str">
        <x:v>Case 1a (BoS), pure</x:v>
      </x:c>
      <x:c r="D74" t="str">
        <x:v>pure</x:v>
      </x:c>
      <x:c r="E74" s="26" t="n">
        <x:v>0.25</x:v>
      </x:c>
      <x:c r="F74" s="26" t="n">
        <x:v>0.6</x:v>
      </x:c>
      <x:c r="G74" s="26" t="n">
        <x:v>1</x:v>
      </x:c>
      <x:c r="H74" s="26" t="n">
        <x:v>0</x:v>
      </x:c>
      <x:c r="I74" t="str">
        <x:v>pi/4</x:v>
      </x:c>
      <x:c r="J74" s="26" t="n">
        <x:f>Raw_pure!G74</x:f>
        <x:v>0.0078125</x:v>
      </x:c>
      <x:c r="K74" s="26" t="n">
        <x:f>Raw_pure!H74</x:f>
        <x:v>0.4736328125</x:v>
      </x:c>
      <x:c r="L74" s="26" t="n">
        <x:f>Raw_pure!I74</x:f>
        <x:v>0.5107421875</x:v>
      </x:c>
      <x:c r="M74" s="26" t="n">
        <x:f>Raw_pure!J74</x:f>
        <x:v>0.0078125</x:v>
      </x:c>
      <x:c r="N74" s="26" t="n">
        <x:v>0.8</x:v>
      </x:c>
      <x:c r="O74" s="26" t="n">
        <x:v>0.8</x:v>
      </x:c>
      <x:c r="P74" s="26" t="n">
        <x:f>J74*E74+K74*F74+L74*G74+M74*H74</x:f>
        <x:v>0.796875</x:v>
      </x:c>
      <x:c r="Q74" s="26" t="n">
        <x:f>J74*E74+K74*G74+L74*F74+M74*H74</x:f>
        <x:v>0.78203125</x:v>
      </x:c>
      <x:c r="R74" s="26" t="n">
        <x:f>(P74+Q74)/2</x:f>
        <x:v>0.789453125</x:v>
      </x:c>
      <x:c r="S74" s="26" t="n">
        <x:f>P74-Q74</x:f>
        <x:v>0.014843750000000044</x:v>
      </x:c>
      <x:c r="T74" s="26" t="n">
        <x:f>(P74-N74)^2+(Q74-O74)^2</x:f>
        <x:v>0.0003326416015625035</x:v>
      </x:c>
    </x:row>
    <x:row r="75">
      <x:c r="A75" t="str">
        <x:v>A</x:v>
      </x:c>
      <x:c r="B75" t="n">
        <x:v>72</x:v>
      </x:c>
      <x:c r="C75" t="str">
        <x:v>Case 1a (BoS), pure</x:v>
      </x:c>
      <x:c r="D75" t="str">
        <x:v>pure</x:v>
      </x:c>
      <x:c r="E75" s="26" t="n">
        <x:v>0.25</x:v>
      </x:c>
      <x:c r="F75" s="26" t="n">
        <x:v>0.6</x:v>
      </x:c>
      <x:c r="G75" s="26" t="n">
        <x:v>1</x:v>
      </x:c>
      <x:c r="H75" s="26" t="n">
        <x:v>0</x:v>
      </x:c>
      <x:c r="I75" t="str">
        <x:v>pi/4</x:v>
      </x:c>
      <x:c r="J75" s="26" t="n">
        <x:f>Raw_pure!G75</x:f>
        <x:v>0.0068359375</x:v>
      </x:c>
      <x:c r="K75" s="26" t="n">
        <x:f>Raw_pure!H75</x:f>
        <x:v>0.5087890625</x:v>
      </x:c>
      <x:c r="L75" s="26" t="n">
        <x:f>Raw_pure!I75</x:f>
        <x:v>0.47265625</x:v>
      </x:c>
      <x:c r="M75" s="26" t="n">
        <x:f>Raw_pure!J75</x:f>
        <x:v>0.01171875</x:v>
      </x:c>
      <x:c r="N75" s="26" t="n">
        <x:v>0.8</x:v>
      </x:c>
      <x:c r="O75" s="26" t="n">
        <x:v>0.8</x:v>
      </x:c>
      <x:c r="P75" s="26" t="n">
        <x:f>J75*E75+K75*F75+L75*G75+M75*H75</x:f>
        <x:v>0.7796386718749999</x:v>
      </x:c>
      <x:c r="Q75" s="26" t="n">
        <x:f>J75*E75+K75*G75+L75*F75+M75*H75</x:f>
        <x:v>0.794091796875</x:v>
      </x:c>
      <x:c r="R75" s="26" t="n">
        <x:f>(P75+Q75)/2</x:f>
        <x:v>0.786865234375</x:v>
      </x:c>
      <x:c r="S75" s="26" t="n">
        <x:f>P75-Q75</x:f>
        <x:v>-0.014453125000000067</x:v>
      </x:c>
      <x:c r="T75" s="26" t="n">
        <x:f>(P75-N75)^2+(Q75-O75)^2</x:f>
        <x:v>0.000449490547180182</x:v>
      </x:c>
    </x:row>
    <x:row r="76">
      <x:c r="A76" t="str">
        <x:v>A</x:v>
      </x:c>
      <x:c r="B76" t="n">
        <x:v>73</x:v>
      </x:c>
      <x:c r="C76" t="str">
        <x:v>Case 1a (BoS), pure</x:v>
      </x:c>
      <x:c r="D76" t="str">
        <x:v>pure</x:v>
      </x:c>
      <x:c r="E76" s="26" t="n">
        <x:v>0.25</x:v>
      </x:c>
      <x:c r="F76" s="26" t="n">
        <x:v>0.6</x:v>
      </x:c>
      <x:c r="G76" s="26" t="n">
        <x:v>1</x:v>
      </x:c>
      <x:c r="H76" s="26" t="n">
        <x:v>0</x:v>
      </x:c>
      <x:c r="I76" t="str">
        <x:v>pi/4</x:v>
      </x:c>
      <x:c r="J76" s="26" t="n">
        <x:f>Raw_pure!G76</x:f>
        <x:v>0.009765625</x:v>
      </x:c>
      <x:c r="K76" s="26" t="n">
        <x:f>Raw_pure!H76</x:f>
        <x:v>0.4736328125</x:v>
      </x:c>
      <x:c r="L76" s="26" t="n">
        <x:f>Raw_pure!I76</x:f>
        <x:v>0.509765625</x:v>
      </x:c>
      <x:c r="M76" s="26" t="n">
        <x:f>Raw_pure!J76</x:f>
        <x:v>0.0068359375</x:v>
      </x:c>
      <x:c r="N76" s="26" t="n">
        <x:v>0.8</x:v>
      </x:c>
      <x:c r="O76" s="26" t="n">
        <x:v>0.8</x:v>
      </x:c>
      <x:c r="P76" s="26" t="n">
        <x:f>J76*E76+K76*F76+L76*G76+M76*H76</x:f>
        <x:v>0.79638671875</x:v>
      </x:c>
      <x:c r="Q76" s="26" t="n">
        <x:f>J76*E76+K76*G76+L76*F76+M76*H76</x:f>
        <x:v>0.78193359375</x:v>
      </x:c>
      <x:c r="R76" s="26" t="n">
        <x:f>(P76+Q76)/2</x:f>
        <x:v>0.78916015625</x:v>
      </x:c>
      <x:c r="S76" s="26" t="n">
        <x:f>P76-Q76</x:f>
        <x:v>0.014453124999999956</x:v>
      </x:c>
      <x:c r="T76" s="26" t="n">
        <x:f>(P76-N76)^2+(Q76-O76)^2</x:f>
        <x:v>0.00033945083618164095</x:v>
      </x:c>
    </x:row>
    <x:row r="77">
      <x:c r="A77" t="str">
        <x:v>A</x:v>
      </x:c>
      <x:c r="B77" t="n">
        <x:v>74</x:v>
      </x:c>
      <x:c r="C77" t="str">
        <x:v>Case 1a (BoS), pure</x:v>
      </x:c>
      <x:c r="D77" t="str">
        <x:v>pure</x:v>
      </x:c>
      <x:c r="E77" s="26" t="n">
        <x:v>0.25</x:v>
      </x:c>
      <x:c r="F77" s="26" t="n">
        <x:v>0.6</x:v>
      </x:c>
      <x:c r="G77" s="26" t="n">
        <x:v>1</x:v>
      </x:c>
      <x:c r="H77" s="26" t="n">
        <x:v>0</x:v>
      </x:c>
      <x:c r="I77" t="str">
        <x:v>pi/4</x:v>
      </x:c>
      <x:c r="J77" s="26" t="n">
        <x:f>Raw_pure!G77</x:f>
        <x:v>0.0029296875</x:v>
      </x:c>
      <x:c r="K77" s="26" t="n">
        <x:f>Raw_pure!H77</x:f>
        <x:v>0.4853515625</x:v>
      </x:c>
      <x:c r="L77" s="26" t="n">
        <x:f>Raw_pure!I77</x:f>
        <x:v>0.5009765625</x:v>
      </x:c>
      <x:c r="M77" s="26" t="n">
        <x:f>Raw_pure!J77</x:f>
        <x:v>0.0107421875</x:v>
      </x:c>
      <x:c r="N77" s="26" t="n">
        <x:v>0.8</x:v>
      </x:c>
      <x:c r="O77" s="26" t="n">
        <x:v>0.8</x:v>
      </x:c>
      <x:c r="P77" s="26" t="n">
        <x:f>J77*E77+K77*F77+L77*G77+M77*H77</x:f>
        <x:v>0.792919921875</x:v>
      </x:c>
      <x:c r="Q77" s="26" t="n">
        <x:f>J77*E77+K77*G77+L77*F77+M77*H77</x:f>
        <x:v>0.786669921875</x:v>
      </x:c>
      <x:c r="R77" s="26" t="n">
        <x:f>(P77+Q77)/2</x:f>
        <x:v>0.789794921875</x:v>
      </x:c>
      <x:c r="S77" s="26" t="n">
        <x:f>P77-Q77</x:f>
        <x:v>0.006250000000000089</x:v>
      </x:c>
      <x:c r="T77" s="26" t="n">
        <x:f>(P77-N77)^2+(Q77-O77)^2</x:f>
        <x:v>0.0002278184890747094</x:v>
      </x:c>
    </x:row>
    <x:row r="78">
      <x:c r="A78" t="str">
        <x:v>A</x:v>
      </x:c>
      <x:c r="B78" t="n">
        <x:v>75</x:v>
      </x:c>
      <x:c r="C78" t="str">
        <x:v>Case 1a (BoS), pure</x:v>
      </x:c>
      <x:c r="D78" t="str">
        <x:v>pure</x:v>
      </x:c>
      <x:c r="E78" s="26" t="n">
        <x:v>0.25</x:v>
      </x:c>
      <x:c r="F78" s="26" t="n">
        <x:v>0.6</x:v>
      </x:c>
      <x:c r="G78" s="26" t="n">
        <x:v>1</x:v>
      </x:c>
      <x:c r="H78" s="26" t="n">
        <x:v>0</x:v>
      </x:c>
      <x:c r="I78" t="str">
        <x:v>pi/4</x:v>
      </x:c>
      <x:c r="J78" s="26" t="n">
        <x:f>Raw_pure!G78</x:f>
        <x:v>0.013671875</x:v>
      </x:c>
      <x:c r="K78" s="26" t="n">
        <x:f>Raw_pure!H78</x:f>
        <x:v>0.5048828125</x:v>
      </x:c>
      <x:c r="L78" s="26" t="n">
        <x:f>Raw_pure!I78</x:f>
        <x:v>0.474609375</x:v>
      </x:c>
      <x:c r="M78" s="26" t="n">
        <x:f>Raw_pure!J78</x:f>
        <x:v>0.0068359375</x:v>
      </x:c>
      <x:c r="N78" s="26" t="n">
        <x:v>0.8</x:v>
      </x:c>
      <x:c r="O78" s="26" t="n">
        <x:v>0.8</x:v>
      </x:c>
      <x:c r="P78" s="26" t="n">
        <x:f>J78*E78+K78*F78+L78*G78+M78*H78</x:f>
        <x:v>0.78095703125</x:v>
      </x:c>
      <x:c r="Q78" s="26" t="n">
        <x:f>J78*E78+K78*G78+L78*F78+M78*H78</x:f>
        <x:v>0.7930664062499999</x:v>
      </x:c>
      <x:c r="R78" s="26" t="n">
        <x:f>(P78+Q78)/2</x:f>
        <x:v>0.78701171875</x:v>
      </x:c>
      <x:c r="S78" s="26" t="n">
        <x:f>P78-Q78</x:f>
        <x:v>-0.012109374999999867</x:v>
      </x:c>
      <x:c r="T78" s="26" t="n">
        <x:f>(P78-N78)^2+(Q78-O78)^2</x:f>
        <x:v>0.0004107093811035175</x:v>
      </x:c>
    </x:row>
    <x:row r="79">
      <x:c r="A79" t="str">
        <x:v>A</x:v>
      </x:c>
      <x:c r="B79" t="n">
        <x:v>76</x:v>
      </x:c>
      <x:c r="C79" t="str">
        <x:v>Case 1a (BoS), pure</x:v>
      </x:c>
      <x:c r="D79" t="str">
        <x:v>pure</x:v>
      </x:c>
      <x:c r="E79" s="26" t="n">
        <x:v>0.25</x:v>
      </x:c>
      <x:c r="F79" s="26" t="n">
        <x:v>0.6</x:v>
      </x:c>
      <x:c r="G79" s="26" t="n">
        <x:v>1</x:v>
      </x:c>
      <x:c r="H79" s="26" t="n">
        <x:v>0</x:v>
      </x:c>
      <x:c r="I79" t="str">
        <x:v>pi/4</x:v>
      </x:c>
      <x:c r="J79" s="26" t="n">
        <x:f>Raw_pure!G79</x:f>
        <x:v>0.009765625</x:v>
      </x:c>
      <x:c r="K79" s="26" t="n">
        <x:f>Raw_pure!H79</x:f>
        <x:v>0.498046875</x:v>
      </x:c>
      <x:c r="L79" s="26" t="n">
        <x:f>Raw_pure!I79</x:f>
        <x:v>0.48046875</x:v>
      </x:c>
      <x:c r="M79" s="26" t="n">
        <x:f>Raw_pure!J79</x:f>
        <x:v>0.01171875</x:v>
      </x:c>
      <x:c r="N79" s="26" t="n">
        <x:v>0.8</x:v>
      </x:c>
      <x:c r="O79" s="26" t="n">
        <x:v>0.8</x:v>
      </x:c>
      <x:c r="P79" s="26" t="n">
        <x:f>J79*E79+K79*F79+L79*G79+M79*H79</x:f>
        <x:v>0.78173828125</x:v>
      </x:c>
      <x:c r="Q79" s="26" t="n">
        <x:f>J79*E79+K79*G79+L79*F79+M79*H79</x:f>
        <x:v>0.78876953125</x:v>
      </x:c>
      <x:c r="R79" s="26" t="n">
        <x:f>(P79+Q79)/2</x:f>
        <x:v>0.78525390625</x:v>
      </x:c>
      <x:c r="S79" s="26" t="n">
        <x:f>P79-Q79</x:f>
        <x:v>-0.007031250000000044</x:v>
      </x:c>
      <x:c r="T79" s="26" t="n">
        <x:f>(P79-N79)^2+(Q79-O79)^2</x:f>
        <x:v>0.00045961380004882975</x:v>
      </x:c>
    </x:row>
    <x:row r="80">
      <x:c r="A80" t="str">
        <x:v>A</x:v>
      </x:c>
      <x:c r="B80" t="n">
        <x:v>77</x:v>
      </x:c>
      <x:c r="C80" t="str">
        <x:v>Case 1a (BoS), pure</x:v>
      </x:c>
      <x:c r="D80" t="str">
        <x:v>pure</x:v>
      </x:c>
      <x:c r="E80" s="26" t="n">
        <x:v>0.25</x:v>
      </x:c>
      <x:c r="F80" s="26" t="n">
        <x:v>0.6</x:v>
      </x:c>
      <x:c r="G80" s="26" t="n">
        <x:v>1</x:v>
      </x:c>
      <x:c r="H80" s="26" t="n">
        <x:v>0</x:v>
      </x:c>
      <x:c r="I80" t="str">
        <x:v>pi/4</x:v>
      </x:c>
      <x:c r="J80" s="26" t="n">
        <x:f>Raw_pure!G80</x:f>
        <x:v>0.0078125</x:v>
      </x:c>
      <x:c r="K80" s="26" t="n">
        <x:f>Raw_pure!H80</x:f>
        <x:v>0.51171875</x:v>
      </x:c>
      <x:c r="L80" s="26" t="n">
        <x:f>Raw_pure!I80</x:f>
        <x:v>0.474609375</x:v>
      </x:c>
      <x:c r="M80" s="26" t="n">
        <x:f>Raw_pure!J80</x:f>
        <x:v>0.005859375</x:v>
      </x:c>
      <x:c r="N80" s="26" t="n">
        <x:v>0.8</x:v>
      </x:c>
      <x:c r="O80" s="26" t="n">
        <x:v>0.8</x:v>
      </x:c>
      <x:c r="P80" s="26" t="n">
        <x:f>J80*E80+K80*F80+L80*G80+M80*H80</x:f>
        <x:v>0.78359375</x:v>
      </x:c>
      <x:c r="Q80" s="26" t="n">
        <x:f>J80*E80+K80*G80+L80*F80+M80*H80</x:f>
        <x:v>0.7984374999999999</x:v>
      </x:c>
      <x:c r="R80" s="26" t="n">
        <x:f>(P80+Q80)/2</x:f>
        <x:v>0.791015625</x:v>
      </x:c>
      <x:c r="S80" s="26" t="n">
        <x:f>P80-Q80</x:f>
        <x:v>-0.014843749999999933</x:v>
      </x:c>
      <x:c r="T80" s="26" t="n">
        <x:f>(P80-N80)^2+(Q80-O80)^2</x:f>
        <x:v>0.0002716064453125026</x:v>
      </x:c>
    </x:row>
    <x:row r="81">
      <x:c r="A81" t="str">
        <x:v>A</x:v>
      </x:c>
      <x:c r="B81" t="n">
        <x:v>78</x:v>
      </x:c>
      <x:c r="C81" t="str">
        <x:v>Case 1a (BoS), pure</x:v>
      </x:c>
      <x:c r="D81" t="str">
        <x:v>pure</x:v>
      </x:c>
      <x:c r="E81" s="26" t="n">
        <x:v>0.25</x:v>
      </x:c>
      <x:c r="F81" s="26" t="n">
        <x:v>0.6</x:v>
      </x:c>
      <x:c r="G81" s="26" t="n">
        <x:v>1</x:v>
      </x:c>
      <x:c r="H81" s="26" t="n">
        <x:v>0</x:v>
      </x:c>
      <x:c r="I81" t="str">
        <x:v>pi/4</x:v>
      </x:c>
      <x:c r="J81" s="26" t="n">
        <x:f>Raw_pure!G81</x:f>
        <x:v>0.0107421875</x:v>
      </x:c>
      <x:c r="K81" s="26" t="n">
        <x:f>Raw_pure!H81</x:f>
        <x:v>0.4853515625</x:v>
      </x:c>
      <x:c r="L81" s="26" t="n">
        <x:f>Raw_pure!I81</x:f>
        <x:v>0.494140625</x:v>
      </x:c>
      <x:c r="M81" s="26" t="n">
        <x:f>Raw_pure!J81</x:f>
        <x:v>0.009765625</x:v>
      </x:c>
      <x:c r="N81" s="26" t="n">
        <x:v>0.8</x:v>
      </x:c>
      <x:c r="O81" s="26" t="n">
        <x:v>0.8</x:v>
      </x:c>
      <x:c r="P81" s="26" t="n">
        <x:f>J81*E81+K81*F81+L81*G81+M81*H81</x:f>
        <x:v>0.788037109375</x:v>
      </x:c>
      <x:c r="Q81" s="26" t="n">
        <x:f>J81*E81+K81*G81+L81*F81+M81*H81</x:f>
        <x:v>0.7845214843749999</x:v>
      </x:c>
      <x:c r="R81" s="26" t="n">
        <x:f>(P81+Q81)/2</x:f>
        <x:v>0.786279296875</x:v>
      </x:c>
      <x:c r="S81" s="26" t="n">
        <x:f>P81-Q81</x:f>
        <x:v>0.0035156250000001332</x:v>
      </x:c>
      <x:c r="T81" s="26" t="n">
        <x:f>(P81-N81)^2+(Q81-O81)^2</x:f>
        <x:v>0.0003826951980590861</x:v>
      </x:c>
    </x:row>
    <x:row r="82">
      <x:c r="A82" t="str">
        <x:v>A</x:v>
      </x:c>
      <x:c r="B82" t="n">
        <x:v>79</x:v>
      </x:c>
      <x:c r="C82" t="str">
        <x:v>Case 1a (BoS), pure</x:v>
      </x:c>
      <x:c r="D82" t="str">
        <x:v>pure</x:v>
      </x:c>
      <x:c r="E82" s="26" t="n">
        <x:v>0.25</x:v>
      </x:c>
      <x:c r="F82" s="26" t="n">
        <x:v>0.6</x:v>
      </x:c>
      <x:c r="G82" s="26" t="n">
        <x:v>1</x:v>
      </x:c>
      <x:c r="H82" s="26" t="n">
        <x:v>0</x:v>
      </x:c>
      <x:c r="I82" t="str">
        <x:v>pi/4</x:v>
      </x:c>
      <x:c r="J82" s="26" t="n">
        <x:f>Raw_pure!G82</x:f>
        <x:v>0.0087890625</x:v>
      </x:c>
      <x:c r="K82" s="26" t="n">
        <x:f>Raw_pure!H82</x:f>
        <x:v>0.5107421875</x:v>
      </x:c>
      <x:c r="L82" s="26" t="n">
        <x:f>Raw_pure!I82</x:f>
        <x:v>0.47265625</x:v>
      </x:c>
      <x:c r="M82" s="26" t="n">
        <x:f>Raw_pure!J82</x:f>
        <x:v>0.0078125</x:v>
      </x:c>
      <x:c r="N82" s="26" t="n">
        <x:v>0.8</x:v>
      </x:c>
      <x:c r="O82" s="26" t="n">
        <x:v>0.8</x:v>
      </x:c>
      <x:c r="P82" s="26" t="n">
        <x:f>J82*E82+K82*F82+L82*G82+M82*H82</x:f>
        <x:v>0.781298828125</x:v>
      </x:c>
      <x:c r="Q82" s="26" t="n">
        <x:f>J82*E82+K82*G82+L82*F82+M82*H82</x:f>
        <x:v>0.796533203125</x:v>
      </x:c>
      <x:c r="R82" s="26" t="n">
        <x:f>(P82+Q82)/2</x:f>
        <x:v>0.7889160156249999</x:v>
      </x:c>
      <x:c r="S82" s="26" t="n">
        <x:f>P82-Q82</x:f>
        <x:v>-0.015234375000000022</x:v>
      </x:c>
      <x:c r="T82" s="26" t="n">
        <x:f>(P82-N82)^2+(Q82-O82)^2</x:f>
        <x:v>0.00036175251007080457</x:v>
      </x:c>
    </x:row>
    <x:row r="83">
      <x:c r="A83" t="str">
        <x:v>A</x:v>
      </x:c>
      <x:c r="B83" t="n">
        <x:v>80</x:v>
      </x:c>
      <x:c r="C83" t="str">
        <x:v>Case 1a (BoS), pure</x:v>
      </x:c>
      <x:c r="D83" t="str">
        <x:v>pure</x:v>
      </x:c>
      <x:c r="E83" s="26" t="n">
        <x:v>0.25</x:v>
      </x:c>
      <x:c r="F83" s="26" t="n">
        <x:v>0.6</x:v>
      </x:c>
      <x:c r="G83" s="26" t="n">
        <x:v>1</x:v>
      </x:c>
      <x:c r="H83" s="26" t="n">
        <x:v>0</x:v>
      </x:c>
      <x:c r="I83" t="str">
        <x:v>pi/4</x:v>
      </x:c>
      <x:c r="J83" s="26" t="n">
        <x:f>Raw_pure!G83</x:f>
        <x:v>0.00390625</x:v>
      </x:c>
      <x:c r="K83" s="26" t="n">
        <x:f>Raw_pure!H83</x:f>
        <x:v>0.5126953125</x:v>
      </x:c>
      <x:c r="L83" s="26" t="n">
        <x:f>Raw_pure!I83</x:f>
        <x:v>0.4755859375</x:v>
      </x:c>
      <x:c r="M83" s="26" t="n">
        <x:f>Raw_pure!J83</x:f>
        <x:v>0.0078125</x:v>
      </x:c>
      <x:c r="N83" s="26" t="n">
        <x:v>0.8</x:v>
      </x:c>
      <x:c r="O83" s="26" t="n">
        <x:v>0.8</x:v>
      </x:c>
      <x:c r="P83" s="26" t="n">
        <x:f>J83*E83+K83*F83+L83*G83+M83*H83</x:f>
        <x:v>0.7841796875</x:v>
      </x:c>
      <x:c r="Q83" s="26" t="n">
        <x:f>J83*E83+K83*G83+L83*F83+M83*H83</x:f>
        <x:v>0.7990234375</x:v>
      </x:c>
      <x:c r="R83" s="26" t="n">
        <x:f>(P83+Q83)/2</x:f>
        <x:v>0.7916015625</x:v>
      </x:c>
      <x:c r="S83" s="26" t="n">
        <x:f>P83-Q83</x:f>
        <x:v>-0.014843750000000044</x:v>
      </x:c>
      <x:c r="T83" s="26" t="n">
        <x:f>(P83-N83)^2+(Q83-O83)^2</x:f>
        <x:v>0.0002512359619140639</x:v>
      </x:c>
    </x:row>
    <x:row r="84">
      <x:c r="A84" t="str">
        <x:v>A</x:v>
      </x:c>
      <x:c r="B84" t="n">
        <x:v>81</x:v>
      </x:c>
      <x:c r="C84" t="str">
        <x:v>Case 1a (BoS), pure</x:v>
      </x:c>
      <x:c r="D84" t="str">
        <x:v>pure</x:v>
      </x:c>
      <x:c r="E84" s="26" t="n">
        <x:v>0.25</x:v>
      </x:c>
      <x:c r="F84" s="26" t="n">
        <x:v>0.6</x:v>
      </x:c>
      <x:c r="G84" s="26" t="n">
        <x:v>1</x:v>
      </x:c>
      <x:c r="H84" s="26" t="n">
        <x:v>0</x:v>
      </x:c>
      <x:c r="I84" t="str">
        <x:v>pi/4</x:v>
      </x:c>
      <x:c r="J84" s="26" t="n">
        <x:f>Raw_pure!G84</x:f>
        <x:v>0.0048828125</x:v>
      </x:c>
      <x:c r="K84" s="26" t="n">
        <x:f>Raw_pure!H84</x:f>
        <x:v>0.490234375</x:v>
      </x:c>
      <x:c r="L84" s="26" t="n">
        <x:f>Raw_pure!I84</x:f>
        <x:v>0.4970703125</x:v>
      </x:c>
      <x:c r="M84" s="26" t="n">
        <x:f>Raw_pure!J84</x:f>
        <x:v>0.0078125</x:v>
      </x:c>
      <x:c r="N84" s="26" t="n">
        <x:v>0.8</x:v>
      </x:c>
      <x:c r="O84" s="26" t="n">
        <x:v>0.8</x:v>
      </x:c>
      <x:c r="P84" s="26" t="n">
        <x:f>J84*E84+K84*F84+L84*G84+M84*H84</x:f>
        <x:v>0.792431640625</x:v>
      </x:c>
      <x:c r="Q84" s="26" t="n">
        <x:f>J84*E84+K84*G84+L84*F84+M84*H84</x:f>
        <x:v>0.789697265625</x:v>
      </x:c>
      <x:c r="R84" s="26" t="n">
        <x:f>(P84+Q84)/2</x:f>
        <x:v>0.791064453125</x:v>
      </x:c>
      <x:c r="S84" s="26" t="n">
        <x:f>P84-Q84</x:f>
        <x:v>0.0027343750000000666</x:v>
      </x:c>
      <x:c r="T84" s="26" t="n">
        <x:f>(P84-N84)^2+(Q84-O84)^2</x:f>
        <x:v>0.0001634263992309584</x:v>
      </x:c>
    </x:row>
    <x:row r="85">
      <x:c r="A85" t="str">
        <x:v>A</x:v>
      </x:c>
      <x:c r="B85" t="n">
        <x:v>82</x:v>
      </x:c>
      <x:c r="C85" t="str">
        <x:v>Case 1a (BoS), pure</x:v>
      </x:c>
      <x:c r="D85" t="str">
        <x:v>pure</x:v>
      </x:c>
      <x:c r="E85" s="26" t="n">
        <x:v>0.25</x:v>
      </x:c>
      <x:c r="F85" s="26" t="n">
        <x:v>0.6</x:v>
      </x:c>
      <x:c r="G85" s="26" t="n">
        <x:v>1</x:v>
      </x:c>
      <x:c r="H85" s="26" t="n">
        <x:v>0</x:v>
      </x:c>
      <x:c r="I85" t="str">
        <x:v>pi/4</x:v>
      </x:c>
      <x:c r="J85" s="26" t="n">
        <x:f>Raw_pure!G85</x:f>
        <x:v>0.0126953125</x:v>
      </x:c>
      <x:c r="K85" s="26" t="n">
        <x:f>Raw_pure!H85</x:f>
        <x:v>0.4716796875</x:v>
      </x:c>
      <x:c r="L85" s="26" t="n">
        <x:f>Raw_pure!I85</x:f>
        <x:v>0.5087890625</x:v>
      </x:c>
      <x:c r="M85" s="26" t="n">
        <x:f>Raw_pure!J85</x:f>
        <x:v>0.0068359375</x:v>
      </x:c>
      <x:c r="N85" s="26" t="n">
        <x:v>0.8</x:v>
      </x:c>
      <x:c r="O85" s="26" t="n">
        <x:v>0.8</x:v>
      </x:c>
      <x:c r="P85" s="26" t="n">
        <x:f>J85*E85+K85*F85+L85*G85+M85*H85</x:f>
        <x:v>0.794970703125</x:v>
      </x:c>
      <x:c r="Q85" s="26" t="n">
        <x:f>J85*E85+K85*G85+L85*F85+M85*H85</x:f>
        <x:v>0.7801269531249999</x:v>
      </x:c>
      <x:c r="R85" s="26" t="n">
        <x:f>(P85+Q85)/2</x:f>
        <x:v>0.7875488281249999</x:v>
      </x:c>
      <x:c r="S85" s="26" t="n">
        <x:f>P85-Q85</x:f>
        <x:v>0.014843750000000044</x:v>
      </x:c>
      <x:c r="T85" s="26" t="n">
        <x:f>(P85-N85)^2+(Q85-O85)^2</x:f>
        <x:v>0.00042023181915283825</x:v>
      </x:c>
    </x:row>
    <x:row r="86">
      <x:c r="A86" t="str">
        <x:v>A</x:v>
      </x:c>
      <x:c r="B86" t="n">
        <x:v>83</x:v>
      </x:c>
      <x:c r="C86" t="str">
        <x:v>Case 1a (BoS), pure</x:v>
      </x:c>
      <x:c r="D86" t="str">
        <x:v>pure</x:v>
      </x:c>
      <x:c r="E86" s="26" t="n">
        <x:v>0.25</x:v>
      </x:c>
      <x:c r="F86" s="26" t="n">
        <x:v>0.6</x:v>
      </x:c>
      <x:c r="G86" s="26" t="n">
        <x:v>1</x:v>
      </x:c>
      <x:c r="H86" s="26" t="n">
        <x:v>0</x:v>
      </x:c>
      <x:c r="I86" t="str">
        <x:v>pi/4</x:v>
      </x:c>
      <x:c r="J86" s="26" t="n">
        <x:f>Raw_pure!G86</x:f>
        <x:v>0.0078125</x:v>
      </x:c>
      <x:c r="K86" s="26" t="n">
        <x:f>Raw_pure!H86</x:f>
        <x:v>0.486328125</x:v>
      </x:c>
      <x:c r="L86" s="26" t="n">
        <x:f>Raw_pure!I86</x:f>
        <x:v>0.5009765625</x:v>
      </x:c>
      <x:c r="M86" s="26" t="n">
        <x:f>Raw_pure!J86</x:f>
        <x:v>0.0048828125</x:v>
      </x:c>
      <x:c r="N86" s="26" t="n">
        <x:v>0.8</x:v>
      </x:c>
      <x:c r="O86" s="26" t="n">
        <x:v>0.8</x:v>
      </x:c>
      <x:c r="P86" s="26" t="n">
        <x:f>J86*E86+K86*F86+L86*G86+M86*H86</x:f>
        <x:v>0.7947265625</x:v>
      </x:c>
      <x:c r="Q86" s="26" t="n">
        <x:f>J86*E86+K86*G86+L86*F86+M86*H86</x:f>
        <x:v>0.7888671875</x:v>
      </x:c>
      <x:c r="R86" s="26" t="n">
        <x:f>(P86+Q86)/2</x:f>
        <x:v>0.791796875</x:v>
      </x:c>
      <x:c r="S86" s="26" t="n">
        <x:f>P86-Q86</x:f>
        <x:v>0.005859375</x:v>
      </x:c>
      <x:c r="T86" s="26" t="n">
        <x:f>(P86-N86)^2+(Q86-O86)^2</x:f>
        <x:v>0.00015174865722656543</x:v>
      </x:c>
    </x:row>
    <x:row r="87">
      <x:c r="A87" t="str">
        <x:v>A</x:v>
      </x:c>
      <x:c r="B87" t="n">
        <x:v>84</x:v>
      </x:c>
      <x:c r="C87" t="str">
        <x:v>Case 1a (BoS), pure</x:v>
      </x:c>
      <x:c r="D87" t="str">
        <x:v>pure</x:v>
      </x:c>
      <x:c r="E87" s="26" t="n">
        <x:v>0.25</x:v>
      </x:c>
      <x:c r="F87" s="26" t="n">
        <x:v>0.6</x:v>
      </x:c>
      <x:c r="G87" s="26" t="n">
        <x:v>1</x:v>
      </x:c>
      <x:c r="H87" s="26" t="n">
        <x:v>0</x:v>
      </x:c>
      <x:c r="I87" t="str">
        <x:v>pi/4</x:v>
      </x:c>
      <x:c r="J87" s="26" t="n">
        <x:f>Raw_pure!G87</x:f>
        <x:v>0.005859375</x:v>
      </x:c>
      <x:c r="K87" s="26" t="n">
        <x:f>Raw_pure!H87</x:f>
        <x:v>0.4951171875</x:v>
      </x:c>
      <x:c r="L87" s="26" t="n">
        <x:f>Raw_pure!I87</x:f>
        <x:v>0.48828125</x:v>
      </x:c>
      <x:c r="M87" s="26" t="n">
        <x:f>Raw_pure!J87</x:f>
        <x:v>0.0107421875</x:v>
      </x:c>
      <x:c r="N87" s="26" t="n">
        <x:v>0.8</x:v>
      </x:c>
      <x:c r="O87" s="26" t="n">
        <x:v>0.8</x:v>
      </x:c>
      <x:c r="P87" s="26" t="n">
        <x:f>J87*E87+K87*F87+L87*G87+M87*H87</x:f>
        <x:v>0.78681640625</x:v>
      </x:c>
      <x:c r="Q87" s="26" t="n">
        <x:f>J87*E87+K87*G87+L87*F87+M87*H87</x:f>
        <x:v>0.78955078125</x:v>
      </x:c>
      <x:c r="R87" s="26" t="n">
        <x:f>(P87+Q87)/2</x:f>
        <x:v>0.78818359375</x:v>
      </x:c>
      <x:c r="S87" s="26" t="n">
        <x:f>P87-Q87</x:f>
        <x:v>-0.0027343749999999556</x:v>
      </x:c>
      <x:c r="T87" s="26" t="n">
        <x:f>(P87-N87)^2+(Q87-O87)^2</x:f>
        <x:v>0.00028299331665039156</x:v>
      </x:c>
    </x:row>
    <x:row r="88">
      <x:c r="A88" t="str">
        <x:v>A</x:v>
      </x:c>
      <x:c r="B88" t="n">
        <x:v>85</x:v>
      </x:c>
      <x:c r="C88" t="str">
        <x:v>Case 1a (BoS), pure</x:v>
      </x:c>
      <x:c r="D88" t="str">
        <x:v>pure</x:v>
      </x:c>
      <x:c r="E88" s="26" t="n">
        <x:v>0.25</x:v>
      </x:c>
      <x:c r="F88" s="26" t="n">
        <x:v>0.6</x:v>
      </x:c>
      <x:c r="G88" s="26" t="n">
        <x:v>1</x:v>
      </x:c>
      <x:c r="H88" s="26" t="n">
        <x:v>0</x:v>
      </x:c>
      <x:c r="I88" t="str">
        <x:v>pi/4</x:v>
      </x:c>
      <x:c r="J88" s="26" t="n">
        <x:f>Raw_pure!G88</x:f>
        <x:v>0.0087890625</x:v>
      </x:c>
      <x:c r="K88" s="26" t="n">
        <x:f>Raw_pure!H88</x:f>
        <x:v>0.5107421875</x:v>
      </x:c>
      <x:c r="L88" s="26" t="n">
        <x:f>Raw_pure!I88</x:f>
        <x:v>0.4736328125</x:v>
      </x:c>
      <x:c r="M88" s="26" t="n">
        <x:f>Raw_pure!J88</x:f>
        <x:v>0.0068359375</x:v>
      </x:c>
      <x:c r="N88" s="26" t="n">
        <x:v>0.8</x:v>
      </x:c>
      <x:c r="O88" s="26" t="n">
        <x:v>0.8</x:v>
      </x:c>
      <x:c r="P88" s="26" t="n">
        <x:f>J88*E88+K88*F88+L88*G88+M88*H88</x:f>
        <x:v>0.782275390625</x:v>
      </x:c>
      <x:c r="Q88" s="26" t="n">
        <x:f>J88*E88+K88*G88+L88*F88+M88*H88</x:f>
        <x:v>0.797119140625</x:v>
      </x:c>
      <x:c r="R88" s="26" t="n">
        <x:f>(P88+Q88)/2</x:f>
        <x:v>0.789697265625</x:v>
      </x:c>
      <x:c r="S88" s="26" t="n">
        <x:f>P88-Q88</x:f>
        <x:v>-0.014843750000000044</x:v>
      </x:c>
      <x:c r="T88" s="26" t="n">
        <x:f>(P88-N88)^2+(Q88-O88)^2</x:f>
        <x:v>0.0003224611282348667</x:v>
      </x:c>
    </x:row>
    <x:row r="89">
      <x:c r="A89" t="str">
        <x:v>A</x:v>
      </x:c>
      <x:c r="B89" t="n">
        <x:v>86</x:v>
      </x:c>
      <x:c r="C89" t="str">
        <x:v>Case 1a (BoS), pure</x:v>
      </x:c>
      <x:c r="D89" t="str">
        <x:v>pure</x:v>
      </x:c>
      <x:c r="E89" s="26" t="n">
        <x:v>0.25</x:v>
      </x:c>
      <x:c r="F89" s="26" t="n">
        <x:v>0.6</x:v>
      </x:c>
      <x:c r="G89" s="26" t="n">
        <x:v>1</x:v>
      </x:c>
      <x:c r="H89" s="26" t="n">
        <x:v>0</x:v>
      </x:c>
      <x:c r="I89" t="str">
        <x:v>pi/4</x:v>
      </x:c>
      <x:c r="J89" s="26" t="n">
        <x:f>Raw_pure!G89</x:f>
        <x:v>0.0068359375</x:v>
      </x:c>
      <x:c r="K89" s="26" t="n">
        <x:f>Raw_pure!H89</x:f>
        <x:v>0.4853515625</x:v>
      </x:c>
      <x:c r="L89" s="26" t="n">
        <x:f>Raw_pure!I89</x:f>
        <x:v>0.498046875</x:v>
      </x:c>
      <x:c r="M89" s="26" t="n">
        <x:f>Raw_pure!J89</x:f>
        <x:v>0.009765625</x:v>
      </x:c>
      <x:c r="N89" s="26" t="n">
        <x:v>0.8</x:v>
      </x:c>
      <x:c r="O89" s="26" t="n">
        <x:v>0.8</x:v>
      </x:c>
      <x:c r="P89" s="26" t="n">
        <x:f>J89*E89+K89*F89+L89*G89+M89*H89</x:f>
        <x:v>0.790966796875</x:v>
      </x:c>
      <x:c r="Q89" s="26" t="n">
        <x:f>J89*E89+K89*G89+L89*F89+M89*H89</x:f>
        <x:v>0.785888671875</x:v>
      </x:c>
      <x:c r="R89" s="26" t="n">
        <x:f>(P89+Q89)/2</x:f>
        <x:v>0.788427734375</x:v>
      </x:c>
      <x:c r="S89" s="26" t="n">
        <x:f>P89-Q89</x:f>
        <x:v>0.005078125000000044</x:v>
      </x:c>
      <x:c r="T89" s="26" t="n">
        <x:f>(P89-N89)^2+(Q89-O89)^2</x:f>
        <x:v>0.00028072834014892704</x:v>
      </x:c>
    </x:row>
    <x:row r="90">
      <x:c r="A90" t="str">
        <x:v>A</x:v>
      </x:c>
      <x:c r="B90" t="n">
        <x:v>87</x:v>
      </x:c>
      <x:c r="C90" t="str">
        <x:v>Case 1a (BoS), pure</x:v>
      </x:c>
      <x:c r="D90" t="str">
        <x:v>pure</x:v>
      </x:c>
      <x:c r="E90" s="26" t="n">
        <x:v>0.25</x:v>
      </x:c>
      <x:c r="F90" s="26" t="n">
        <x:v>0.6</x:v>
      </x:c>
      <x:c r="G90" s="26" t="n">
        <x:v>1</x:v>
      </x:c>
      <x:c r="H90" s="26" t="n">
        <x:v>0</x:v>
      </x:c>
      <x:c r="I90" t="str">
        <x:v>pi/4</x:v>
      </x:c>
      <x:c r="J90" s="26" t="n">
        <x:f>Raw_pure!G90</x:f>
        <x:v>0.0078125</x:v>
      </x:c>
      <x:c r="K90" s="26" t="n">
        <x:f>Raw_pure!H90</x:f>
        <x:v>0.5048828125</x:v>
      </x:c>
      <x:c r="L90" s="26" t="n">
        <x:f>Raw_pure!I90</x:f>
        <x:v>0.478515625</x:v>
      </x:c>
      <x:c r="M90" s="26" t="n">
        <x:f>Raw_pure!J90</x:f>
        <x:v>0.0087890625</x:v>
      </x:c>
      <x:c r="N90" s="26" t="n">
        <x:v>0.8</x:v>
      </x:c>
      <x:c r="O90" s="26" t="n">
        <x:v>0.8</x:v>
      </x:c>
      <x:c r="P90" s="26" t="n">
        <x:f>J90*E90+K90*F90+L90*G90+M90*H90</x:f>
        <x:v>0.7833984375</x:v>
      </x:c>
      <x:c r="Q90" s="26" t="n">
        <x:f>J90*E90+K90*G90+L90*F90+M90*H90</x:f>
        <x:v>0.7939453125</x:v>
      </x:c>
      <x:c r="R90" s="26" t="n">
        <x:f>(P90+Q90)/2</x:f>
        <x:v>0.788671875</x:v>
      </x:c>
      <x:c r="S90" s="26" t="n">
        <x:f>P90-Q90</x:f>
        <x:v>-0.010546874999999956</x:v>
      </x:c>
      <x:c r="T90" s="26" t="n">
        <x:f>(P90-N90)^2+(Q90-O90)^2</x:f>
        <x:v>0.00031227111816406304</x:v>
      </x:c>
    </x:row>
    <x:row r="91">
      <x:c r="A91" t="str">
        <x:v>A</x:v>
      </x:c>
      <x:c r="B91" t="n">
        <x:v>88</x:v>
      </x:c>
      <x:c r="C91" t="str">
        <x:v>Case 1a (BoS), pure</x:v>
      </x:c>
      <x:c r="D91" t="str">
        <x:v>pure</x:v>
      </x:c>
      <x:c r="E91" s="26" t="n">
        <x:v>0.25</x:v>
      </x:c>
      <x:c r="F91" s="26" t="n">
        <x:v>0.6</x:v>
      </x:c>
      <x:c r="G91" s="26" t="n">
        <x:v>1</x:v>
      </x:c>
      <x:c r="H91" s="26" t="n">
        <x:v>0</x:v>
      </x:c>
      <x:c r="I91" t="str">
        <x:v>pi/4</x:v>
      </x:c>
      <x:c r="J91" s="26" t="n">
        <x:f>Raw_pure!G91</x:f>
        <x:v>0.0068359375</x:v>
      </x:c>
      <x:c r="K91" s="26" t="n">
        <x:f>Raw_pure!H91</x:f>
        <x:v>0.5</x:v>
      </x:c>
      <x:c r="L91" s="26" t="n">
        <x:f>Raw_pure!I91</x:f>
        <x:v>0.48046875</x:v>
      </x:c>
      <x:c r="M91" s="26" t="n">
        <x:f>Raw_pure!J91</x:f>
        <x:v>0.0126953125</x:v>
      </x:c>
      <x:c r="N91" s="26" t="n">
        <x:v>0.8</x:v>
      </x:c>
      <x:c r="O91" s="26" t="n">
        <x:v>0.8</x:v>
      </x:c>
      <x:c r="P91" s="26" t="n">
        <x:f>J91*E91+K91*F91+L91*G91+M91*H91</x:f>
        <x:v>0.782177734375</x:v>
      </x:c>
      <x:c r="Q91" s="26" t="n">
        <x:f>J91*E91+K91*G91+L91*F91+M91*H91</x:f>
        <x:v>0.789990234375</x:v>
      </x:c>
      <x:c r="R91" s="26" t="n">
        <x:f>(P91+Q91)/2</x:f>
        <x:v>0.786083984375</x:v>
      </x:c>
      <x:c r="S91" s="26" t="n">
        <x:f>P91-Q91</x:f>
        <x:v>-0.0078125</x:v>
      </x:c>
      <x:c r="T91" s="26" t="n">
        <x:f>(P91-N91)^2+(Q91-O91)^2</x:f>
        <x:v>0.0004178285598754883</x:v>
      </x:c>
    </x:row>
    <x:row r="92">
      <x:c r="A92" t="str">
        <x:v>A</x:v>
      </x:c>
      <x:c r="B92" t="n">
        <x:v>89</x:v>
      </x:c>
      <x:c r="C92" t="str">
        <x:v>Case 1a (BoS), pure</x:v>
      </x:c>
      <x:c r="D92" t="str">
        <x:v>pure</x:v>
      </x:c>
      <x:c r="E92" s="26" t="n">
        <x:v>0.25</x:v>
      </x:c>
      <x:c r="F92" s="26" t="n">
        <x:v>0.6</x:v>
      </x:c>
      <x:c r="G92" s="26" t="n">
        <x:v>1</x:v>
      </x:c>
      <x:c r="H92" s="26" t="n">
        <x:v>0</x:v>
      </x:c>
      <x:c r="I92" t="str">
        <x:v>pi/4</x:v>
      </x:c>
      <x:c r="J92" s="26" t="n">
        <x:f>Raw_pure!G92</x:f>
        <x:v>0.0048828125</x:v>
      </x:c>
      <x:c r="K92" s="26" t="n">
        <x:f>Raw_pure!H92</x:f>
        <x:v>0.5126953125</x:v>
      </x:c>
      <x:c r="L92" s="26" t="n">
        <x:f>Raw_pure!I92</x:f>
        <x:v>0.4736328125</x:v>
      </x:c>
      <x:c r="M92" s="26" t="n">
        <x:f>Raw_pure!J92</x:f>
        <x:v>0.0087890625</x:v>
      </x:c>
      <x:c r="N92" s="26" t="n">
        <x:v>0.8</x:v>
      </x:c>
      <x:c r="O92" s="26" t="n">
        <x:v>0.8</x:v>
      </x:c>
      <x:c r="P92" s="26" t="n">
        <x:f>J92*E92+K92*F92+L92*G92+M92*H92</x:f>
        <x:v>0.782470703125</x:v>
      </x:c>
      <x:c r="Q92" s="26" t="n">
        <x:f>J92*E92+K92*G92+L92*F92+M92*H92</x:f>
        <x:v>0.798095703125</x:v>
      </x:c>
      <x:c r="R92" s="26" t="n">
        <x:f>(P92+Q92)/2</x:f>
        <x:v>0.790283203125</x:v>
      </x:c>
      <x:c r="S92" s="26" t="n">
        <x:f>P92-Q92</x:f>
        <x:v>-0.015625</x:v>
      </x:c>
      <x:c r="T92" s="26" t="n">
        <x:f>(P92-N92)^2+(Q92-O92)^2</x:f>
        <x:v>0.00031090259552002126</x:v>
      </x:c>
    </x:row>
    <x:row r="93">
      <x:c r="A93" t="str">
        <x:v>A</x:v>
      </x:c>
      <x:c r="B93" t="n">
        <x:v>90</x:v>
      </x:c>
      <x:c r="C93" t="str">
        <x:v>Case 1a (BoS), pure</x:v>
      </x:c>
      <x:c r="D93" t="str">
        <x:v>pure</x:v>
      </x:c>
      <x:c r="E93" s="26" t="n">
        <x:v>0.25</x:v>
      </x:c>
      <x:c r="F93" s="26" t="n">
        <x:v>0.6</x:v>
      </x:c>
      <x:c r="G93" s="26" t="n">
        <x:v>1</x:v>
      </x:c>
      <x:c r="H93" s="26" t="n">
        <x:v>0</x:v>
      </x:c>
      <x:c r="I93" t="str">
        <x:v>pi/4</x:v>
      </x:c>
      <x:c r="J93" s="26" t="n">
        <x:f>Raw_pure!G93</x:f>
        <x:v>0.009765625</x:v>
      </x:c>
      <x:c r="K93" s="26" t="n">
        <x:f>Raw_pure!H93</x:f>
        <x:v>0.4755859375</x:v>
      </x:c>
      <x:c r="L93" s="26" t="n">
        <x:f>Raw_pure!I93</x:f>
        <x:v>0.5078125</x:v>
      </x:c>
      <x:c r="M93" s="26" t="n">
        <x:f>Raw_pure!J93</x:f>
        <x:v>0.0068359375</x:v>
      </x:c>
      <x:c r="N93" s="26" t="n">
        <x:v>0.8</x:v>
      </x:c>
      <x:c r="O93" s="26" t="n">
        <x:v>0.8</x:v>
      </x:c>
      <x:c r="P93" s="26" t="n">
        <x:f>J93*E93+K93*F93+L93*G93+M93*H93</x:f>
        <x:v>0.79560546875</x:v>
      </x:c>
      <x:c r="Q93" s="26" t="n">
        <x:f>J93*E93+K93*G93+L93*F93+M93*H93</x:f>
        <x:v>0.78271484375</x:v>
      </x:c>
      <x:c r="R93" s="26" t="n">
        <x:f>(P93+Q93)/2</x:f>
        <x:v>0.78916015625</x:v>
      </x:c>
      <x:c r="S93" s="26" t="n">
        <x:f>P93-Q93</x:f>
        <x:v>0.012890625000000044</x:v>
      </x:c>
      <x:c r="T93" s="26" t="n">
        <x:f>(P93-N93)^2+(Q93-O93)^2</x:f>
        <x:v>0.00031808853149414216</x:v>
      </x:c>
    </x:row>
    <x:row r="94">
      <x:c r="A94" t="str">
        <x:v>A</x:v>
      </x:c>
      <x:c r="B94" t="n">
        <x:v>91</x:v>
      </x:c>
      <x:c r="C94" t="str">
        <x:v>Case 1a (BoS), pure</x:v>
      </x:c>
      <x:c r="D94" t="str">
        <x:v>pure</x:v>
      </x:c>
      <x:c r="E94" s="26" t="n">
        <x:v>0.25</x:v>
      </x:c>
      <x:c r="F94" s="26" t="n">
        <x:v>0.6</x:v>
      </x:c>
      <x:c r="G94" s="26" t="n">
        <x:v>1</x:v>
      </x:c>
      <x:c r="H94" s="26" t="n">
        <x:v>0</x:v>
      </x:c>
      <x:c r="I94" t="str">
        <x:v>pi/4</x:v>
      </x:c>
      <x:c r="J94" s="26" t="n">
        <x:f>Raw_pure!G94</x:f>
        <x:v>0.0126953125</x:v>
      </x:c>
      <x:c r="K94" s="26" t="n">
        <x:f>Raw_pure!H94</x:f>
        <x:v>0.4970703125</x:v>
      </x:c>
      <x:c r="L94" s="26" t="n">
        <x:f>Raw_pure!I94</x:f>
        <x:v>0.484375</x:v>
      </x:c>
      <x:c r="M94" s="26" t="n">
        <x:f>Raw_pure!J94</x:f>
        <x:v>0.005859375</x:v>
      </x:c>
      <x:c r="N94" s="26" t="n">
        <x:v>0.8</x:v>
      </x:c>
      <x:c r="O94" s="26" t="n">
        <x:v>0.8</x:v>
      </x:c>
      <x:c r="P94" s="26" t="n">
        <x:f>J94*E94+K94*F94+L94*G94+M94*H94</x:f>
        <x:v>0.785791015625</x:v>
      </x:c>
      <x:c r="Q94" s="26" t="n">
        <x:f>J94*E94+K94*G94+L94*F94+M94*H94</x:f>
        <x:v>0.7908691406249999</x:v>
      </x:c>
      <x:c r="R94" s="26" t="n">
        <x:f>(P94+Q94)/2</x:f>
        <x:v>0.788330078125</x:v>
      </x:c>
      <x:c r="S94" s="26" t="n">
        <x:f>P94-Q94</x:f>
        <x:v>-0.005078124999999933</x:v>
      </x:c>
      <x:c r="T94" s="26" t="n">
        <x:f>(P94-N94)^2+(Q94-O94)^2</x:f>
        <x:v>0.00028526782989502387</x:v>
      </x:c>
    </x:row>
    <x:row r="95">
      <x:c r="A95" t="str">
        <x:v>A</x:v>
      </x:c>
      <x:c r="B95" t="n">
        <x:v>92</x:v>
      </x:c>
      <x:c r="C95" t="str">
        <x:v>Case 1a (BoS), pure</x:v>
      </x:c>
      <x:c r="D95" t="str">
        <x:v>pure</x:v>
      </x:c>
      <x:c r="E95" s="26" t="n">
        <x:v>0.25</x:v>
      </x:c>
      <x:c r="F95" s="26" t="n">
        <x:v>0.6</x:v>
      </x:c>
      <x:c r="G95" s="26" t="n">
        <x:v>1</x:v>
      </x:c>
      <x:c r="H95" s="26" t="n">
        <x:v>0</x:v>
      </x:c>
      <x:c r="I95" t="str">
        <x:v>pi/4</x:v>
      </x:c>
      <x:c r="J95" s="26" t="n">
        <x:f>Raw_pure!G95</x:f>
        <x:v>0.0087890625</x:v>
      </x:c>
      <x:c r="K95" s="26" t="n">
        <x:f>Raw_pure!H95</x:f>
        <x:v>0.4560546875</x:v>
      </x:c>
      <x:c r="L95" s="26" t="n">
        <x:f>Raw_pure!I95</x:f>
        <x:v>0.5283203125</x:v>
      </x:c>
      <x:c r="M95" s="26" t="n">
        <x:f>Raw_pure!J95</x:f>
        <x:v>0.0068359375</x:v>
      </x:c>
      <x:c r="N95" s="26" t="n">
        <x:v>0.8</x:v>
      </x:c>
      <x:c r="O95" s="26" t="n">
        <x:v>0.8</x:v>
      </x:c>
      <x:c r="P95" s="26" t="n">
        <x:f>J95*E95+K95*F95+L95*G95+M95*H95</x:f>
        <x:v>0.804150390625</x:v>
      </x:c>
      <x:c r="Q95" s="26" t="n">
        <x:f>J95*E95+K95*G95+L95*F95+M95*H95</x:f>
        <x:v>0.7752441406249999</x:v>
      </x:c>
      <x:c r="R95" s="26" t="n">
        <x:f>(P95+Q95)/2</x:f>
        <x:v>0.789697265625</x:v>
      </x:c>
      <x:c r="S95" s="26" t="n">
        <x:f>P95-Q95</x:f>
        <x:v>0.028906250000000133</x:v>
      </x:c>
      <x:c r="T95" s="26" t="n">
        <x:f>(P95-N95)^2+(Q95-O95)^2</x:f>
        <x:v>0.0006300783157348698</x:v>
      </x:c>
    </x:row>
    <x:row r="96">
      <x:c r="A96" t="str">
        <x:v>A</x:v>
      </x:c>
      <x:c r="B96" t="n">
        <x:v>93</x:v>
      </x:c>
      <x:c r="C96" t="str">
        <x:v>Case 1a (BoS), pure</x:v>
      </x:c>
      <x:c r="D96" t="str">
        <x:v>pure</x:v>
      </x:c>
      <x:c r="E96" s="26" t="n">
        <x:v>0.25</x:v>
      </x:c>
      <x:c r="F96" s="26" t="n">
        <x:v>0.6</x:v>
      </x:c>
      <x:c r="G96" s="26" t="n">
        <x:v>1</x:v>
      </x:c>
      <x:c r="H96" s="26" t="n">
        <x:v>0</x:v>
      </x:c>
      <x:c r="I96" t="str">
        <x:v>pi/4</x:v>
      </x:c>
      <x:c r="J96" s="26" t="n">
        <x:f>Raw_pure!G96</x:f>
        <x:v>0.0068359375</x:v>
      </x:c>
      <x:c r="K96" s="26" t="n">
        <x:f>Raw_pure!H96</x:f>
        <x:v>0.4921875</x:v>
      </x:c>
      <x:c r="L96" s="26" t="n">
        <x:f>Raw_pure!I96</x:f>
        <x:v>0.48828125</x:v>
      </x:c>
      <x:c r="M96" s="26" t="n">
        <x:f>Raw_pure!J96</x:f>
        <x:v>0.0126953125</x:v>
      </x:c>
      <x:c r="N96" s="26" t="n">
        <x:v>0.8</x:v>
      </x:c>
      <x:c r="O96" s="26" t="n">
        <x:v>0.8</x:v>
      </x:c>
      <x:c r="P96" s="26" t="n">
        <x:f>J96*E96+K96*F96+L96*G96+M96*H96</x:f>
        <x:v>0.785302734375</x:v>
      </x:c>
      <x:c r="Q96" s="26" t="n">
        <x:f>J96*E96+K96*G96+L96*F96+M96*H96</x:f>
        <x:v>0.786865234375</x:v>
      </x:c>
      <x:c r="R96" s="26" t="n">
        <x:f>(P96+Q96)/2</x:f>
        <x:v>0.786083984375</x:v>
      </x:c>
      <x:c r="S96" s="26" t="n">
        <x:f>P96-Q96</x:f>
        <x:v>-0.0015625000000000222</x:v>
      </x:c>
      <x:c r="T96" s="26" t="n">
        <x:f>(P96-N96)^2+(Q96-O96)^2</x:f>
        <x:v>0.0003885316848754914</x:v>
      </x:c>
    </x:row>
    <x:row r="97">
      <x:c r="A97" t="str">
        <x:v>A</x:v>
      </x:c>
      <x:c r="B97" t="n">
        <x:v>94</x:v>
      </x:c>
      <x:c r="C97" t="str">
        <x:v>Case 1a (BoS), pure</x:v>
      </x:c>
      <x:c r="D97" t="str">
        <x:v>pure</x:v>
      </x:c>
      <x:c r="E97" s="26" t="n">
        <x:v>0.25</x:v>
      </x:c>
      <x:c r="F97" s="26" t="n">
        <x:v>0.6</x:v>
      </x:c>
      <x:c r="G97" s="26" t="n">
        <x:v>1</x:v>
      </x:c>
      <x:c r="H97" s="26" t="n">
        <x:v>0</x:v>
      </x:c>
      <x:c r="I97" t="str">
        <x:v>pi/4</x:v>
      </x:c>
      <x:c r="J97" s="26" t="n">
        <x:f>Raw_pure!G97</x:f>
        <x:v>0.0107421875</x:v>
      </x:c>
      <x:c r="K97" s="26" t="n">
        <x:f>Raw_pure!H97</x:f>
        <x:v>0.46875</x:v>
      </x:c>
      <x:c r="L97" s="26" t="n">
        <x:f>Raw_pure!I97</x:f>
        <x:v>0.51171875</x:v>
      </x:c>
      <x:c r="M97" s="26" t="n">
        <x:f>Raw_pure!J97</x:f>
        <x:v>0.0087890625</x:v>
      </x:c>
      <x:c r="N97" s="26" t="n">
        <x:v>0.8</x:v>
      </x:c>
      <x:c r="O97" s="26" t="n">
        <x:v>0.8</x:v>
      </x:c>
      <x:c r="P97" s="26" t="n">
        <x:f>J97*E97+K97*F97+L97*G97+M97*H97</x:f>
        <x:v>0.795654296875</x:v>
      </x:c>
      <x:c r="Q97" s="26" t="n">
        <x:f>J97*E97+K97*G97+L97*F97+M97*H97</x:f>
        <x:v>0.778466796875</x:v>
      </x:c>
      <x:c r="R97" s="26" t="n">
        <x:f>(P97+Q97)/2</x:f>
        <x:v>0.787060546875</x:v>
      </x:c>
      <x:c r="S97" s="26" t="n">
        <x:f>P97-Q97</x:f>
        <x:v>0.017187500000000022</x:v>
      </x:c>
      <x:c r="T97" s="26" t="n">
        <x:f>(P97-N97)^2+(Q97-O97)^2</x:f>
        <x:v>0.0004825639724731478</x:v>
      </x:c>
    </x:row>
    <x:row r="98">
      <x:c r="A98" t="str">
        <x:v>A</x:v>
      </x:c>
      <x:c r="B98" t="n">
        <x:v>95</x:v>
      </x:c>
      <x:c r="C98" t="str">
        <x:v>Case 1a (BoS), pure</x:v>
      </x:c>
      <x:c r="D98" t="str">
        <x:v>pure</x:v>
      </x:c>
      <x:c r="E98" s="26" t="n">
        <x:v>0.25</x:v>
      </x:c>
      <x:c r="F98" s="26" t="n">
        <x:v>0.6</x:v>
      </x:c>
      <x:c r="G98" s="26" t="n">
        <x:v>1</x:v>
      </x:c>
      <x:c r="H98" s="26" t="n">
        <x:v>0</x:v>
      </x:c>
      <x:c r="I98" t="str">
        <x:v>pi/4</x:v>
      </x:c>
      <x:c r="J98" s="26" t="n">
        <x:f>Raw_pure!G98</x:f>
        <x:v>0.005859375</x:v>
      </x:c>
      <x:c r="K98" s="26" t="n">
        <x:f>Raw_pure!H98</x:f>
        <x:v>0.4775390625</x:v>
      </x:c>
      <x:c r="L98" s="26" t="n">
        <x:f>Raw_pure!I98</x:f>
        <x:v>0.5107421875</x:v>
      </x:c>
      <x:c r="M98" s="26" t="n">
        <x:f>Raw_pure!J98</x:f>
        <x:v>0.005859375</x:v>
      </x:c>
      <x:c r="N98" s="26" t="n">
        <x:v>0.8</x:v>
      </x:c>
      <x:c r="O98" s="26" t="n">
        <x:v>0.8</x:v>
      </x:c>
      <x:c r="P98" s="26" t="n">
        <x:f>J98*E98+K98*F98+L98*G98+M98*H98</x:f>
        <x:v>0.79873046875</x:v>
      </x:c>
      <x:c r="Q98" s="26" t="n">
        <x:f>J98*E98+K98*G98+L98*F98+M98*H98</x:f>
        <x:v>0.78544921875</x:v>
      </x:c>
      <x:c r="R98" s="26" t="n">
        <x:f>(P98+Q98)/2</x:f>
        <x:v>0.7920898437499999</x:v>
      </x:c>
      <x:c r="S98" s="26" t="n">
        <x:f>P98-Q98</x:f>
        <x:v>0.013281250000000022</x:v>
      </x:c>
      <x:c r="T98" s="26" t="n">
        <x:f>(P98-N98)^2+(Q98-O98)^2</x:f>
        <x:v>0.00021333694458008088</x:v>
      </x:c>
    </x:row>
    <x:row r="99">
      <x:c r="A99" t="str">
        <x:v>A</x:v>
      </x:c>
      <x:c r="B99" t="n">
        <x:v>96</x:v>
      </x:c>
      <x:c r="C99" t="str">
        <x:v>Case 1a (BoS), pure</x:v>
      </x:c>
      <x:c r="D99" t="str">
        <x:v>pure</x:v>
      </x:c>
      <x:c r="E99" s="26" t="n">
        <x:v>0.25</x:v>
      </x:c>
      <x:c r="F99" s="26" t="n">
        <x:v>0.6</x:v>
      </x:c>
      <x:c r="G99" s="26" t="n">
        <x:v>1</x:v>
      </x:c>
      <x:c r="H99" s="26" t="n">
        <x:v>0</x:v>
      </x:c>
      <x:c r="I99" t="str">
        <x:v>pi/4</x:v>
      </x:c>
      <x:c r="J99" s="26" t="n">
        <x:f>Raw_pure!G99</x:f>
        <x:v>0.0048828125</x:v>
      </x:c>
      <x:c r="K99" s="26" t="n">
        <x:f>Raw_pure!H99</x:f>
        <x:v>0.4736328125</x:v>
      </x:c>
      <x:c r="L99" s="26" t="n">
        <x:f>Raw_pure!I99</x:f>
        <x:v>0.515625</x:v>
      </x:c>
      <x:c r="M99" s="26" t="n">
        <x:f>Raw_pure!J99</x:f>
        <x:v>0.005859375</x:v>
      </x:c>
      <x:c r="N99" s="26" t="n">
        <x:v>0.8</x:v>
      </x:c>
      <x:c r="O99" s="26" t="n">
        <x:v>0.8</x:v>
      </x:c>
      <x:c r="P99" s="26" t="n">
        <x:f>J99*E99+K99*F99+L99*G99+M99*H99</x:f>
        <x:v>0.801025390625</x:v>
      </x:c>
      <x:c r="Q99" s="26" t="n">
        <x:f>J99*E99+K99*G99+L99*F99+M99*H99</x:f>
        <x:v>0.784228515625</x:v>
      </x:c>
      <x:c r="R99" s="26" t="n">
        <x:f>(P99+Q99)/2</x:f>
        <x:v>0.792626953125</x:v>
      </x:c>
      <x:c r="S99" s="26" t="n">
        <x:f>P99-Q99</x:f>
        <x:v>0.016796875000000044</x:v>
      </x:c>
      <x:c r="T99" s="26" t="n">
        <x:f>(P99-N99)^2+(Q99-O99)^2</x:f>
        <x:v>0.00024979114532470975</x:v>
      </x:c>
    </x:row>
    <x:row r="100">
      <x:c r="A100" t="str">
        <x:v>A</x:v>
      </x:c>
      <x:c r="B100" t="n">
        <x:v>97</x:v>
      </x:c>
      <x:c r="C100" t="str">
        <x:v>Case 1a (BoS), pure</x:v>
      </x:c>
      <x:c r="D100" t="str">
        <x:v>pure</x:v>
      </x:c>
      <x:c r="E100" s="26" t="n">
        <x:v>0.25</x:v>
      </x:c>
      <x:c r="F100" s="26" t="n">
        <x:v>0.6</x:v>
      </x:c>
      <x:c r="G100" s="26" t="n">
        <x:v>1</x:v>
      </x:c>
      <x:c r="H100" s="26" t="n">
        <x:v>0</x:v>
      </x:c>
      <x:c r="I100" t="str">
        <x:v>pi/4</x:v>
      </x:c>
      <x:c r="J100" s="26" t="n">
        <x:f>Raw_pure!G100</x:f>
        <x:v>0.009765625</x:v>
      </x:c>
      <x:c r="K100" s="26" t="n">
        <x:f>Raw_pure!H100</x:f>
        <x:v>0.513671875</x:v>
      </x:c>
      <x:c r="L100" s="26" t="n">
        <x:f>Raw_pure!I100</x:f>
        <x:v>0.4658203125</x:v>
      </x:c>
      <x:c r="M100" s="26" t="n">
        <x:f>Raw_pure!J100</x:f>
        <x:v>0.0107421875</x:v>
      </x:c>
      <x:c r="N100" s="26" t="n">
        <x:v>0.8</x:v>
      </x:c>
      <x:c r="O100" s="26" t="n">
        <x:v>0.8</x:v>
      </x:c>
      <x:c r="P100" s="26" t="n">
        <x:f>J100*E100+K100*F100+L100*G100+M100*H100</x:f>
        <x:v>0.7764648437499999</x:v>
      </x:c>
      <x:c r="Q100" s="26" t="n">
        <x:f>J100*E100+K100*G100+L100*F100+M100*H100</x:f>
        <x:v>0.79560546875</x:v>
      </x:c>
      <x:c r="R100" s="26" t="n">
        <x:f>(P100+Q100)/2</x:f>
        <x:v>0.78603515625</x:v>
      </x:c>
      <x:c r="S100" s="26" t="n">
        <x:f>P100-Q100</x:f>
        <x:v>-0.019140625000000133</x:v>
      </x:c>
      <x:c r="T100" s="26" t="n">
        <x:f>(P100-N100)^2+(Q100-O100)^2</x:f>
        <x:v>0.0005732154846191469</x:v>
      </x:c>
    </x:row>
    <x:row r="101">
      <x:c r="A101" t="str">
        <x:v>A</x:v>
      </x:c>
      <x:c r="B101" t="n">
        <x:v>98</x:v>
      </x:c>
      <x:c r="C101" t="str">
        <x:v>Case 1a (BoS), pure</x:v>
      </x:c>
      <x:c r="D101" t="str">
        <x:v>pure</x:v>
      </x:c>
      <x:c r="E101" s="26" t="n">
        <x:v>0.25</x:v>
      </x:c>
      <x:c r="F101" s="26" t="n">
        <x:v>0.6</x:v>
      </x:c>
      <x:c r="G101" s="26" t="n">
        <x:v>1</x:v>
      </x:c>
      <x:c r="H101" s="26" t="n">
        <x:v>0</x:v>
      </x:c>
      <x:c r="I101" t="str">
        <x:v>pi/4</x:v>
      </x:c>
      <x:c r="J101" s="26" t="n">
        <x:f>Raw_pure!G101</x:f>
        <x:v>0.009765625</x:v>
      </x:c>
      <x:c r="K101" s="26" t="n">
        <x:f>Raw_pure!H101</x:f>
        <x:v>0.50390625</x:v>
      </x:c>
      <x:c r="L101" s="26" t="n">
        <x:f>Raw_pure!I101</x:f>
        <x:v>0.4765625</x:v>
      </x:c>
      <x:c r="M101" s="26" t="n">
        <x:f>Raw_pure!J101</x:f>
        <x:v>0.009765625</x:v>
      </x:c>
      <x:c r="N101" s="26" t="n">
        <x:v>0.8</x:v>
      </x:c>
      <x:c r="O101" s="26" t="n">
        <x:v>0.8</x:v>
      </x:c>
      <x:c r="P101" s="26" t="n">
        <x:f>J101*E101+K101*F101+L101*G101+M101*H101</x:f>
        <x:v>0.7813476562499999</x:v>
      </x:c>
      <x:c r="Q101" s="26" t="n">
        <x:f>J101*E101+K101*G101+L101*F101+M101*H101</x:f>
        <x:v>0.79228515625</x:v>
      </x:c>
      <x:c r="R101" s="26" t="n">
        <x:f>(P101+Q101)/2</x:f>
        <x:v>0.7868164062499999</x:v>
      </x:c>
      <x:c r="S101" s="26" t="n">
        <x:f>P101-Q101</x:f>
        <x:v>-0.010937500000000044</x:v>
      </x:c>
      <x:c r="T101" s="26" t="n">
        <x:f>(P101-N101)^2+(Q101-O101)^2</x:f>
        <x:v>0.0004074287414550845</x:v>
      </x:c>
    </x:row>
    <x:row r="102">
      <x:c r="A102" t="str">
        <x:v>A</x:v>
      </x:c>
      <x:c r="B102" t="n">
        <x:v>99</x:v>
      </x:c>
      <x:c r="C102" t="str">
        <x:v>Case 1a (BoS), pure</x:v>
      </x:c>
      <x:c r="D102" t="str">
        <x:v>pure</x:v>
      </x:c>
      <x:c r="E102" s="26" t="n">
        <x:v>0.25</x:v>
      </x:c>
      <x:c r="F102" s="26" t="n">
        <x:v>0.6</x:v>
      </x:c>
      <x:c r="G102" s="26" t="n">
        <x:v>1</x:v>
      </x:c>
      <x:c r="H102" s="26" t="n">
        <x:v>0</x:v>
      </x:c>
      <x:c r="I102" t="str">
        <x:v>pi/4</x:v>
      </x:c>
      <x:c r="J102" s="26" t="n">
        <x:f>Raw_pure!G102</x:f>
        <x:v>0.0087890625</x:v>
      </x:c>
      <x:c r="K102" s="26" t="n">
        <x:f>Raw_pure!H102</x:f>
        <x:v>0.5107421875</x:v>
      </x:c>
      <x:c r="L102" s="26" t="n">
        <x:f>Raw_pure!I102</x:f>
        <x:v>0.4775390625</x:v>
      </x:c>
      <x:c r="M102" s="26" t="n">
        <x:f>Raw_pure!J102</x:f>
        <x:v>0.0029296875</x:v>
      </x:c>
      <x:c r="N102" s="26" t="n">
        <x:v>0.8</x:v>
      </x:c>
      <x:c r="O102" s="26" t="n">
        <x:v>0.8</x:v>
      </x:c>
      <x:c r="P102" s="26" t="n">
        <x:f>J102*E102+K102*F102+L102*G102+M102*H102</x:f>
        <x:v>0.786181640625</x:v>
      </x:c>
      <x:c r="Q102" s="26" t="n">
        <x:f>J102*E102+K102*G102+L102*F102+M102*H102</x:f>
        <x:v>0.799462890625</x:v>
      </x:c>
      <x:c r="R102" s="26" t="n">
        <x:f>(P102+Q102)/2</x:f>
        <x:v>0.7928222656249999</x:v>
      </x:c>
      <x:c r="S102" s="26" t="n">
        <x:f>P102-Q102</x:f>
        <x:v>-0.013281250000000022</x:v>
      </x:c>
      <x:c r="T102" s="26" t="n">
        <x:f>(P102-N102)^2+(Q102-O102)^2</x:f>
        <x:v>0.0001912355422973658</x:v>
      </x:c>
    </x:row>
    <x:row r="103">
      <x:c r="A103" t="str">
        <x:v>A</x:v>
      </x:c>
      <x:c r="B103" t="n">
        <x:v>100</x:v>
      </x:c>
      <x:c r="C103" t="str">
        <x:v>Case 1a (BoS), pure</x:v>
      </x:c>
      <x:c r="D103" t="str">
        <x:v>pure</x:v>
      </x:c>
      <x:c r="E103" s="26" t="n">
        <x:v>0.25</x:v>
      </x:c>
      <x:c r="F103" s="26" t="n">
        <x:v>0.6</x:v>
      </x:c>
      <x:c r="G103" s="26" t="n">
        <x:v>1</x:v>
      </x:c>
      <x:c r="H103" s="26" t="n">
        <x:v>0</x:v>
      </x:c>
      <x:c r="I103" t="str">
        <x:v>pi/4</x:v>
      </x:c>
      <x:c r="J103" s="26" t="n">
        <x:f>Raw_pure!G103</x:f>
        <x:v>0.0087890625</x:v>
      </x:c>
      <x:c r="K103" s="26" t="n">
        <x:f>Raw_pure!H103</x:f>
        <x:v>0.4873046875</x:v>
      </x:c>
      <x:c r="L103" s="26" t="n">
        <x:f>Raw_pure!I103</x:f>
        <x:v>0.494140625</x:v>
      </x:c>
      <x:c r="M103" s="26" t="n">
        <x:f>Raw_pure!J103</x:f>
        <x:v>0.009765625</x:v>
      </x:c>
      <x:c r="N103" s="26" t="n">
        <x:v>0.8</x:v>
      </x:c>
      <x:c r="O103" s="26" t="n">
        <x:v>0.8</x:v>
      </x:c>
      <x:c r="P103" s="26" t="n">
        <x:f>J103*E103+K103*F103+L103*G103+M103*H103</x:f>
        <x:v>0.788720703125</x:v>
      </x:c>
      <x:c r="Q103" s="26" t="n">
        <x:f>J103*E103+K103*G103+L103*F103+M103*H103</x:f>
        <x:v>0.7859863281249999</x:v>
      </x:c>
      <x:c r="R103" s="26" t="n">
        <x:f>(P103+Q103)/2</x:f>
        <x:v>0.787353515625</x:v>
      </x:c>
      <x:c r="S103" s="26" t="n">
        <x:f>P103-Q103</x:f>
        <x:v>0.0027343750000000666</x:v>
      </x:c>
      <x:c r="T103" s="26" t="n">
        <x:f>(P103-N103)^2+(Q103-O103)^2</x:f>
        <x:v>0.00032360553741455603</x:v>
      </x:c>
    </x:row>
    <x:row r="104">
      <x:c r="A104" t="str">
        <x:v>B</x:v>
      </x:c>
      <x:c r="B104" t="n">
        <x:v>1</x:v>
      </x:c>
      <x:c r="C104" t="str">
        <x:v>Case 3a(i) (PD), pure</x:v>
      </x:c>
      <x:c r="D104" t="str">
        <x:v>pure</x:v>
      </x:c>
      <x:c r="E104" s="26" t="n">
        <x:v>0.75</x:v>
      </x:c>
      <x:c r="F104" s="26" t="n">
        <x:v>0</x:v>
      </x:c>
      <x:c r="G104" s="26" t="n">
        <x:v>1</x:v>
      </x:c>
      <x:c r="H104" s="26" t="n">
        <x:v>0.2</x:v>
      </x:c>
      <x:c r="I104" t="str">
        <x:v>pi/4</x:v>
      </x:c>
      <x:c r="J104" s="26" t="n">
        <x:f>Raw_pure!G4</x:f>
        <x:v>0.01171875</x:v>
      </x:c>
      <x:c r="K104" s="26" t="n">
        <x:f>Raw_pure!H4</x:f>
        <x:v>0.4892578125</x:v>
      </x:c>
      <x:c r="L104" s="26" t="n">
        <x:f>Raw_pure!I4</x:f>
        <x:v>0.4931640625</x:v>
      </x:c>
      <x:c r="M104" s="26" t="n">
        <x:f>Raw_pure!J4</x:f>
        <x:v>0.005859375</x:v>
      </x:c>
      <x:c r="N104" s="26" t="n">
        <x:v>0.5</x:v>
      </x:c>
      <x:c r="O104" s="26" t="n">
        <x:v>0.5</x:v>
      </x:c>
      <x:c r="P104" s="26" t="n">
        <x:f>J104*E104+K104*F104+L104*G104+M104*H104</x:f>
        <x:v>0.503125</x:v>
      </x:c>
      <x:c r="Q104" s="26" t="n">
        <x:f>J104*E104+K104*G104+L104*F104+M104*H104</x:f>
        <x:v>0.49921875</x:v>
      </x:c>
      <x:c r="R104" s="26" t="n">
        <x:f>(P104+Q104)/2</x:f>
        <x:v>0.501171875</x:v>
      </x:c>
      <x:c r="S104" s="26" t="n">
        <x:f>P104-Q104</x:f>
        <x:v>0.0039062500000000555</x:v>
      </x:c>
      <x:c r="T104" s="26" t="n">
        <x:f>(P104-N104)^2+(Q104-O104)^2</x:f>
        <x:v>0.000010375976562500296</x:v>
      </x:c>
    </x:row>
    <x:row r="105">
      <x:c r="A105" t="str">
        <x:v>B</x:v>
      </x:c>
      <x:c r="B105" t="n">
        <x:v>2</x:v>
      </x:c>
      <x:c r="C105" t="str">
        <x:v>Case 3a(i) (PD), pure</x:v>
      </x:c>
      <x:c r="D105" t="str">
        <x:v>pure</x:v>
      </x:c>
      <x:c r="E105" s="26" t="n">
        <x:v>0.75</x:v>
      </x:c>
      <x:c r="F105" s="26" t="n">
        <x:v>0</x:v>
      </x:c>
      <x:c r="G105" s="26" t="n">
        <x:v>1</x:v>
      </x:c>
      <x:c r="H105" s="26" t="n">
        <x:v>0.2</x:v>
      </x:c>
      <x:c r="I105" t="str">
        <x:v>pi/4</x:v>
      </x:c>
      <x:c r="J105" s="26" t="n">
        <x:f>Raw_pure!G5</x:f>
        <x:v>0.0087890625</x:v>
      </x:c>
      <x:c r="K105" s="26" t="n">
        <x:f>Raw_pure!H5</x:f>
        <x:v>0.5107421875</x:v>
      </x:c>
      <x:c r="L105" s="26" t="n">
        <x:f>Raw_pure!I5</x:f>
        <x:v>0.4755859375</x:v>
      </x:c>
      <x:c r="M105" s="26" t="n">
        <x:f>Raw_pure!J5</x:f>
        <x:v>0.0048828125</x:v>
      </x:c>
      <x:c r="N105" s="26" t="n">
        <x:v>0.5</x:v>
      </x:c>
      <x:c r="O105" s="26" t="n">
        <x:v>0.5</x:v>
      </x:c>
      <x:c r="P105" s="26" t="n">
        <x:f>J105*E105+K105*F105+L105*G105+M105*H105</x:f>
        <x:v>0.483154296875</x:v>
      </x:c>
      <x:c r="Q105" s="26" t="n">
        <x:f>J105*E105+K105*G105+L105*F105+M105*H105</x:f>
        <x:v>0.518310546875</x:v>
      </x:c>
      <x:c r="R105" s="26" t="n">
        <x:f>(P105+Q105)/2</x:f>
        <x:v>0.500732421875</x:v>
      </x:c>
      <x:c r="S105" s="26" t="n">
        <x:f>P105-Q105</x:f>
        <x:v>-0.03515625</x:v>
      </x:c>
      <x:c r="T105" s="26" t="n">
        <x:f>(P105-N105)^2+(Q105-O105)^2</x:f>
        <x:v>0.000619053840637207</x:v>
      </x:c>
    </x:row>
    <x:row r="106">
      <x:c r="A106" t="str">
        <x:v>B</x:v>
      </x:c>
      <x:c r="B106" t="n">
        <x:v>3</x:v>
      </x:c>
      <x:c r="C106" t="str">
        <x:v>Case 3a(i) (PD), pure</x:v>
      </x:c>
      <x:c r="D106" t="str">
        <x:v>pure</x:v>
      </x:c>
      <x:c r="E106" s="26" t="n">
        <x:v>0.75</x:v>
      </x:c>
      <x:c r="F106" s="26" t="n">
        <x:v>0</x:v>
      </x:c>
      <x:c r="G106" s="26" t="n">
        <x:v>1</x:v>
      </x:c>
      <x:c r="H106" s="26" t="n">
        <x:v>0.2</x:v>
      </x:c>
      <x:c r="I106" t="str">
        <x:v>pi/4</x:v>
      </x:c>
      <x:c r="J106" s="26" t="n">
        <x:f>Raw_pure!G6</x:f>
        <x:v>0.0087890625</x:v>
      </x:c>
      <x:c r="K106" s="26" t="n">
        <x:f>Raw_pure!H6</x:f>
        <x:v>0.4853515625</x:v>
      </x:c>
      <x:c r="L106" s="26" t="n">
        <x:f>Raw_pure!I6</x:f>
        <x:v>0.5</x:v>
      </x:c>
      <x:c r="M106" s="26" t="n">
        <x:f>Raw_pure!J6</x:f>
        <x:v>0.005859375</x:v>
      </x:c>
      <x:c r="N106" s="26" t="n">
        <x:v>0.5</x:v>
      </x:c>
      <x:c r="O106" s="26" t="n">
        <x:v>0.5</x:v>
      </x:c>
      <x:c r="P106" s="26" t="n">
        <x:f>J106*E106+K106*F106+L106*G106+M106*H106</x:f>
        <x:v>0.507763671875</x:v>
      </x:c>
      <x:c r="Q106" s="26" t="n">
        <x:f>J106*E106+K106*G106+L106*F106+M106*H106</x:f>
        <x:v>0.493115234375</x:v>
      </x:c>
      <x:c r="R106" s="26" t="n">
        <x:f>(P106+Q106)/2</x:f>
        <x:v>0.500439453125</x:v>
      </x:c>
      <x:c r="S106" s="26" t="n">
        <x:f>P106-Q106</x:f>
        <x:v>0.014648437500000056</x:v>
      </x:c>
      <x:c r="T106" s="26" t="n">
        <x:f>(P106-N106)^2+(Q106-O106)^2</x:f>
        <x:v>0.0001076745986938485</x:v>
      </x:c>
    </x:row>
    <x:row r="107">
      <x:c r="A107" t="str">
        <x:v>B</x:v>
      </x:c>
      <x:c r="B107" t="n">
        <x:v>4</x:v>
      </x:c>
      <x:c r="C107" t="str">
        <x:v>Case 3a(i) (PD), pure</x:v>
      </x:c>
      <x:c r="D107" t="str">
        <x:v>pure</x:v>
      </x:c>
      <x:c r="E107" s="26" t="n">
        <x:v>0.75</x:v>
      </x:c>
      <x:c r="F107" s="26" t="n">
        <x:v>0</x:v>
      </x:c>
      <x:c r="G107" s="26" t="n">
        <x:v>1</x:v>
      </x:c>
      <x:c r="H107" s="26" t="n">
        <x:v>0.2</x:v>
      </x:c>
      <x:c r="I107" t="str">
        <x:v>pi/4</x:v>
      </x:c>
      <x:c r="J107" s="26" t="n">
        <x:f>Raw_pure!G7</x:f>
        <x:v>0.009765625</x:v>
      </x:c>
      <x:c r="K107" s="26" t="n">
        <x:f>Raw_pure!H7</x:f>
        <x:v>0.48046875</x:v>
      </x:c>
      <x:c r="L107" s="26" t="n">
        <x:f>Raw_pure!I7</x:f>
        <x:v>0.50390625</x:v>
      </x:c>
      <x:c r="M107" s="26" t="n">
        <x:f>Raw_pure!J7</x:f>
        <x:v>0.005859375</x:v>
      </x:c>
      <x:c r="N107" s="26" t="n">
        <x:v>0.5</x:v>
      </x:c>
      <x:c r="O107" s="26" t="n">
        <x:v>0.5</x:v>
      </x:c>
      <x:c r="P107" s="26" t="n">
        <x:f>J107*E107+K107*F107+L107*G107+M107*H107</x:f>
        <x:v>0.51240234375</x:v>
      </x:c>
      <x:c r="Q107" s="26" t="n">
        <x:f>J107*E107+K107*G107+L107*F107+M107*H107</x:f>
        <x:v>0.48896484375</x:v>
      </x:c>
      <x:c r="R107" s="26" t="n">
        <x:f>(P107+Q107)/2</x:f>
        <x:v>0.50068359375</x:v>
      </x:c>
      <x:c r="S107" s="26" t="n">
        <x:f>P107-Q107</x:f>
        <x:v>0.023437500000000056</x:v>
      </x:c>
      <x:c r="T107" s="26" t="n">
        <x:f>(P107-N107)^2+(Q107-O107)^2</x:f>
        <x:v>0.00027559280395507944</x:v>
      </x:c>
    </x:row>
    <x:row r="108">
      <x:c r="A108" t="str">
        <x:v>B</x:v>
      </x:c>
      <x:c r="B108" t="n">
        <x:v>5</x:v>
      </x:c>
      <x:c r="C108" t="str">
        <x:v>Case 3a(i) (PD), pure</x:v>
      </x:c>
      <x:c r="D108" t="str">
        <x:v>pure</x:v>
      </x:c>
      <x:c r="E108" s="26" t="n">
        <x:v>0.75</x:v>
      </x:c>
      <x:c r="F108" s="26" t="n">
        <x:v>0</x:v>
      </x:c>
      <x:c r="G108" s="26" t="n">
        <x:v>1</x:v>
      </x:c>
      <x:c r="H108" s="26" t="n">
        <x:v>0.2</x:v>
      </x:c>
      <x:c r="I108" t="str">
        <x:v>pi/4</x:v>
      </x:c>
      <x:c r="J108" s="26" t="n">
        <x:f>Raw_pure!G8</x:f>
        <x:v>0.0107421875</x:v>
      </x:c>
      <x:c r="K108" s="26" t="n">
        <x:f>Raw_pure!H8</x:f>
        <x:v>0.4951171875</x:v>
      </x:c>
      <x:c r="L108" s="26" t="n">
        <x:f>Raw_pure!I8</x:f>
        <x:v>0.4833984375</x:v>
      </x:c>
      <x:c r="M108" s="26" t="n">
        <x:f>Raw_pure!J8</x:f>
        <x:v>0.0107421875</x:v>
      </x:c>
      <x:c r="N108" s="26" t="n">
        <x:v>0.5</x:v>
      </x:c>
      <x:c r="O108" s="26" t="n">
        <x:v>0.5</x:v>
      </x:c>
      <x:c r="P108" s="26" t="n">
        <x:f>J108*E108+K108*F108+L108*G108+M108*H108</x:f>
        <x:v>0.493603515625</x:v>
      </x:c>
      <x:c r="Q108" s="26" t="n">
        <x:f>J108*E108+K108*G108+L108*F108+M108*H108</x:f>
        <x:v>0.505322265625</x:v>
      </x:c>
      <x:c r="R108" s="26" t="n">
        <x:f>(P108+Q108)/2</x:f>
        <x:v>0.49946289062500004</x:v>
      </x:c>
      <x:c r="S108" s="26" t="n">
        <x:f>P108-Q108</x:f>
        <x:v>-0.011718750000000056</x:v>
      </x:c>
      <x:c r="T108" s="26" t="n">
        <x:f>(P108-N108)^2+(Q108-O108)^2</x:f>
        <x:v>0.0000692415237426764</x:v>
      </x:c>
    </x:row>
    <x:row r="109">
      <x:c r="A109" t="str">
        <x:v>B</x:v>
      </x:c>
      <x:c r="B109" t="n">
        <x:v>6</x:v>
      </x:c>
      <x:c r="C109" t="str">
        <x:v>Case 3a(i) (PD), pure</x:v>
      </x:c>
      <x:c r="D109" t="str">
        <x:v>pure</x:v>
      </x:c>
      <x:c r="E109" s="26" t="n">
        <x:v>0.75</x:v>
      </x:c>
      <x:c r="F109" s="26" t="n">
        <x:v>0</x:v>
      </x:c>
      <x:c r="G109" s="26" t="n">
        <x:v>1</x:v>
      </x:c>
      <x:c r="H109" s="26" t="n">
        <x:v>0.2</x:v>
      </x:c>
      <x:c r="I109" t="str">
        <x:v>pi/4</x:v>
      </x:c>
      <x:c r="J109" s="26" t="n">
        <x:f>Raw_pure!G9</x:f>
        <x:v>0.009765625</x:v>
      </x:c>
      <x:c r="K109" s="26" t="n">
        <x:f>Raw_pure!H9</x:f>
        <x:v>0.509765625</x:v>
      </x:c>
      <x:c r="L109" s="26" t="n">
        <x:f>Raw_pure!I9</x:f>
        <x:v>0.470703125</x:v>
      </x:c>
      <x:c r="M109" s="26" t="n">
        <x:f>Raw_pure!J9</x:f>
        <x:v>0.009765625</x:v>
      </x:c>
      <x:c r="N109" s="26" t="n">
        <x:v>0.5</x:v>
      </x:c>
      <x:c r="O109" s="26" t="n">
        <x:v>0.5</x:v>
      </x:c>
      <x:c r="P109" s="26" t="n">
        <x:f>J109*E109+K109*F109+L109*G109+M109*H109</x:f>
        <x:v>0.47998046875</x:v>
      </x:c>
      <x:c r="Q109" s="26" t="n">
        <x:f>J109*E109+K109*G109+L109*F109+M109*H109</x:f>
        <x:v>0.51904296875</x:v>
      </x:c>
      <x:c r="R109" s="26" t="n">
        <x:f>(P109+Q109)/2</x:f>
        <x:v>0.49951171875</x:v>
      </x:c>
      <x:c r="S109" s="26" t="n">
        <x:f>P109-Q109</x:f>
        <x:v>-0.0390625</x:v>
      </x:c>
      <x:c r="T109" s="26" t="n">
        <x:f>(P109-N109)^2+(Q109-O109)^2</x:f>
        <x:v>0.0007634162902832031</x:v>
      </x:c>
    </x:row>
    <x:row r="110">
      <x:c r="A110" t="str">
        <x:v>B</x:v>
      </x:c>
      <x:c r="B110" t="n">
        <x:v>7</x:v>
      </x:c>
      <x:c r="C110" t="str">
        <x:v>Case 3a(i) (PD), pure</x:v>
      </x:c>
      <x:c r="D110" t="str">
        <x:v>pure</x:v>
      </x:c>
      <x:c r="E110" s="26" t="n">
        <x:v>0.75</x:v>
      </x:c>
      <x:c r="F110" s="26" t="n">
        <x:v>0</x:v>
      </x:c>
      <x:c r="G110" s="26" t="n">
        <x:v>1</x:v>
      </x:c>
      <x:c r="H110" s="26" t="n">
        <x:v>0.2</x:v>
      </x:c>
      <x:c r="I110" t="str">
        <x:v>pi/4</x:v>
      </x:c>
      <x:c r="J110" s="26" t="n">
        <x:f>Raw_pure!G10</x:f>
        <x:v>0.005859375</x:v>
      </x:c>
      <x:c r="K110" s="26" t="n">
        <x:f>Raw_pure!H10</x:f>
        <x:v>0.4814453125</x:v>
      </x:c>
      <x:c r="L110" s="26" t="n">
        <x:f>Raw_pure!I10</x:f>
        <x:v>0.505859375</x:v>
      </x:c>
      <x:c r="M110" s="26" t="n">
        <x:f>Raw_pure!J10</x:f>
        <x:v>0.0068359375</x:v>
      </x:c>
      <x:c r="N110" s="26" t="n">
        <x:v>0.5</x:v>
      </x:c>
      <x:c r="O110" s="26" t="n">
        <x:v>0.5</x:v>
      </x:c>
      <x:c r="P110" s="26" t="n">
        <x:f>J110*E110+K110*F110+L110*G110+M110*H110</x:f>
        <x:v>0.51162109375</x:v>
      </x:c>
      <x:c r="Q110" s="26" t="n">
        <x:f>J110*E110+K110*G110+L110*F110+M110*H110</x:f>
        <x:v>0.48720703125</x:v>
      </x:c>
      <x:c r="R110" s="26" t="n">
        <x:f>(P110+Q110)/2</x:f>
        <x:v>0.4994140625</x:v>
      </x:c>
      <x:c r="S110" s="26" t="n">
        <x:f>P110-Q110</x:f>
        <x:v>0.0244140625</x:v>
      </x:c>
      <x:c r="T110" s="26" t="n">
        <x:f>(P110-N110)^2+(Q110-O110)^2</x:f>
        <x:v>0.00029870986938476565</x:v>
      </x:c>
    </x:row>
    <x:row r="111">
      <x:c r="A111" t="str">
        <x:v>B</x:v>
      </x:c>
      <x:c r="B111" t="n">
        <x:v>8</x:v>
      </x:c>
      <x:c r="C111" t="str">
        <x:v>Case 3a(i) (PD), pure</x:v>
      </x:c>
      <x:c r="D111" t="str">
        <x:v>pure</x:v>
      </x:c>
      <x:c r="E111" s="26" t="n">
        <x:v>0.75</x:v>
      </x:c>
      <x:c r="F111" s="26" t="n">
        <x:v>0</x:v>
      </x:c>
      <x:c r="G111" s="26" t="n">
        <x:v>1</x:v>
      </x:c>
      <x:c r="H111" s="26" t="n">
        <x:v>0.2</x:v>
      </x:c>
      <x:c r="I111" t="str">
        <x:v>pi/4</x:v>
      </x:c>
      <x:c r="J111" s="26" t="n">
        <x:f>Raw_pure!G11</x:f>
        <x:v>0.0107421875</x:v>
      </x:c>
      <x:c r="K111" s="26" t="n">
        <x:f>Raw_pure!H11</x:f>
        <x:v>0.470703125</x:v>
      </x:c>
      <x:c r="L111" s="26" t="n">
        <x:f>Raw_pure!I11</x:f>
        <x:v>0.5048828125</x:v>
      </x:c>
      <x:c r="M111" s="26" t="n">
        <x:f>Raw_pure!J11</x:f>
        <x:v>0.013671875</x:v>
      </x:c>
      <x:c r="N111" s="26" t="n">
        <x:v>0.5</x:v>
      </x:c>
      <x:c r="O111" s="26" t="n">
        <x:v>0.5</x:v>
      </x:c>
      <x:c r="P111" s="26" t="n">
        <x:f>J111*E111+K111*F111+L111*G111+M111*H111</x:f>
        <x:v>0.515673828125</x:v>
      </x:c>
      <x:c r="Q111" s="26" t="n">
        <x:f>J111*E111+K111*G111+L111*F111+M111*H111</x:f>
        <x:v>0.481494140625</x:v>
      </x:c>
      <x:c r="R111" s="26" t="n">
        <x:f>(P111+Q111)/2</x:f>
        <x:v>0.49858398437499996</x:v>
      </x:c>
      <x:c r="S111" s="26" t="n">
        <x:f>P111-Q111</x:f>
        <x:v>0.034179687499999944</x:v>
      </x:c>
      <x:c r="T111" s="26" t="n">
        <x:f>(P111-N111)^2+(Q111-O111)^2</x:f>
        <x:v>0.0005881357192993146</x:v>
      </x:c>
    </x:row>
    <x:row r="112">
      <x:c r="A112" t="str">
        <x:v>B</x:v>
      </x:c>
      <x:c r="B112" t="n">
        <x:v>9</x:v>
      </x:c>
      <x:c r="C112" t="str">
        <x:v>Case 3a(i) (PD), pure</x:v>
      </x:c>
      <x:c r="D112" t="str">
        <x:v>pure</x:v>
      </x:c>
      <x:c r="E112" s="26" t="n">
        <x:v>0.75</x:v>
      </x:c>
      <x:c r="F112" s="26" t="n">
        <x:v>0</x:v>
      </x:c>
      <x:c r="G112" s="26" t="n">
        <x:v>1</x:v>
      </x:c>
      <x:c r="H112" s="26" t="n">
        <x:v>0.2</x:v>
      </x:c>
      <x:c r="I112" t="str">
        <x:v>pi/4</x:v>
      </x:c>
      <x:c r="J112" s="26" t="n">
        <x:f>Raw_pure!G12</x:f>
        <x:v>0.0048828125</x:v>
      </x:c>
      <x:c r="K112" s="26" t="n">
        <x:f>Raw_pure!H12</x:f>
        <x:v>0.4814453125</x:v>
      </x:c>
      <x:c r="L112" s="26" t="n">
        <x:f>Raw_pure!I12</x:f>
        <x:v>0.50390625</x:v>
      </x:c>
      <x:c r="M112" s="26" t="n">
        <x:f>Raw_pure!J12</x:f>
        <x:v>0.009765625</x:v>
      </x:c>
      <x:c r="N112" s="26" t="n">
        <x:v>0.5</x:v>
      </x:c>
      <x:c r="O112" s="26" t="n">
        <x:v>0.5</x:v>
      </x:c>
      <x:c r="P112" s="26" t="n">
        <x:f>J112*E112+K112*F112+L112*G112+M112*H112</x:f>
        <x:v>0.509521484375</x:v>
      </x:c>
      <x:c r="Q112" s="26" t="n">
        <x:f>J112*E112+K112*G112+L112*F112+M112*H112</x:f>
        <x:v>0.487060546875</x:v>
      </x:c>
      <x:c r="R112" s="26" t="n">
        <x:f>(P112+Q112)/2</x:f>
        <x:v>0.498291015625</x:v>
      </x:c>
      <x:c r="S112" s="26" t="n">
        <x:f>P112-Q112</x:f>
        <x:v>0.0224609375</x:v>
      </x:c>
      <x:c r="T112" s="26" t="n">
        <x:f>(P112-N112)^2+(Q112-O112)^2</x:f>
        <x:v>0.0002580881118774414</x:v>
      </x:c>
    </x:row>
    <x:row r="113">
      <x:c r="A113" t="str">
        <x:v>B</x:v>
      </x:c>
      <x:c r="B113" t="n">
        <x:v>10</x:v>
      </x:c>
      <x:c r="C113" t="str">
        <x:v>Case 3a(i) (PD), pure</x:v>
      </x:c>
      <x:c r="D113" t="str">
        <x:v>pure</x:v>
      </x:c>
      <x:c r="E113" s="26" t="n">
        <x:v>0.75</x:v>
      </x:c>
      <x:c r="F113" s="26" t="n">
        <x:v>0</x:v>
      </x:c>
      <x:c r="G113" s="26" t="n">
        <x:v>1</x:v>
      </x:c>
      <x:c r="H113" s="26" t="n">
        <x:v>0.2</x:v>
      </x:c>
      <x:c r="I113" t="str">
        <x:v>pi/4</x:v>
      </x:c>
      <x:c r="J113" s="26" t="n">
        <x:f>Raw_pure!G13</x:f>
        <x:v>0.0068359375</x:v>
      </x:c>
      <x:c r="K113" s="26" t="n">
        <x:f>Raw_pure!H13</x:f>
        <x:v>0.4853515625</x:v>
      </x:c>
      <x:c r="L113" s="26" t="n">
        <x:f>Raw_pure!I13</x:f>
        <x:v>0.4990234375</x:v>
      </x:c>
      <x:c r="M113" s="26" t="n">
        <x:f>Raw_pure!J13</x:f>
        <x:v>0.0087890625</x:v>
      </x:c>
      <x:c r="N113" s="26" t="n">
        <x:v>0.5</x:v>
      </x:c>
      <x:c r="O113" s="26" t="n">
        <x:v>0.5</x:v>
      </x:c>
      <x:c r="P113" s="26" t="n">
        <x:f>J113*E113+K113*F113+L113*G113+M113*H113</x:f>
        <x:v>0.505908203125</x:v>
      </x:c>
      <x:c r="Q113" s="26" t="n">
        <x:f>J113*E113+K113*G113+L113*F113+M113*H113</x:f>
        <x:v>0.492236328125</x:v>
      </x:c>
      <x:c r="R113" s="26" t="n">
        <x:f>(P113+Q113)/2</x:f>
        <x:v>0.49907226562499996</x:v>
      </x:c>
      <x:c r="S113" s="26" t="n">
        <x:f>P113-Q113</x:f>
        <x:v>0.013671874999999944</x:v>
      </x:c>
      <x:c r="T113" s="26" t="n">
        <x:f>(P113-N113)^2+(Q113-O113)^2</x:f>
        <x:v>0.00009518146514892508</x:v>
      </x:c>
    </x:row>
    <x:row r="114">
      <x:c r="A114" t="str">
        <x:v>B</x:v>
      </x:c>
      <x:c r="B114" t="n">
        <x:v>11</x:v>
      </x:c>
      <x:c r="C114" t="str">
        <x:v>Case 3a(i) (PD), pure</x:v>
      </x:c>
      <x:c r="D114" t="str">
        <x:v>pure</x:v>
      </x:c>
      <x:c r="E114" s="26" t="n">
        <x:v>0.75</x:v>
      </x:c>
      <x:c r="F114" s="26" t="n">
        <x:v>0</x:v>
      </x:c>
      <x:c r="G114" s="26" t="n">
        <x:v>1</x:v>
      </x:c>
      <x:c r="H114" s="26" t="n">
        <x:v>0.2</x:v>
      </x:c>
      <x:c r="I114" t="str">
        <x:v>pi/4</x:v>
      </x:c>
      <x:c r="J114" s="26" t="n">
        <x:f>Raw_pure!G14</x:f>
        <x:v>0.005859375</x:v>
      </x:c>
      <x:c r="K114" s="26" t="n">
        <x:f>Raw_pure!H14</x:f>
        <x:v>0.5029296875</x:v>
      </x:c>
      <x:c r="L114" s="26" t="n">
        <x:f>Raw_pure!I14</x:f>
        <x:v>0.484375</x:v>
      </x:c>
      <x:c r="M114" s="26" t="n">
        <x:f>Raw_pure!J14</x:f>
        <x:v>0.0068359375</x:v>
      </x:c>
      <x:c r="N114" s="26" t="n">
        <x:v>0.5</x:v>
      </x:c>
      <x:c r="O114" s="26" t="n">
        <x:v>0.5</x:v>
      </x:c>
      <x:c r="P114" s="26" t="n">
        <x:f>J114*E114+K114*F114+L114*G114+M114*H114</x:f>
        <x:v>0.49013671875</x:v>
      </x:c>
      <x:c r="Q114" s="26" t="n">
        <x:f>J114*E114+K114*G114+L114*F114+M114*H114</x:f>
        <x:v>0.50869140625</x:v>
      </x:c>
      <x:c r="R114" s="26" t="n">
        <x:f>(P114+Q114)/2</x:f>
        <x:v>0.4994140625</x:v>
      </x:c>
      <x:c r="S114" s="26" t="n">
        <x:f>P114-Q114</x:f>
        <x:v>-0.0185546875</x:v>
      </x:c>
      <x:c r="T114" s="26" t="n">
        <x:f>(P114-N114)^2+(Q114-O114)^2</x:f>
        <x:v>0.00017282485961914068</x:v>
      </x:c>
    </x:row>
    <x:row r="115">
      <x:c r="A115" t="str">
        <x:v>B</x:v>
      </x:c>
      <x:c r="B115" t="n">
        <x:v>12</x:v>
      </x:c>
      <x:c r="C115" t="str">
        <x:v>Case 3a(i) (PD), pure</x:v>
      </x:c>
      <x:c r="D115" t="str">
        <x:v>pure</x:v>
      </x:c>
      <x:c r="E115" s="26" t="n">
        <x:v>0.75</x:v>
      </x:c>
      <x:c r="F115" s="26" t="n">
        <x:v>0</x:v>
      </x:c>
      <x:c r="G115" s="26" t="n">
        <x:v>1</x:v>
      </x:c>
      <x:c r="H115" s="26" t="n">
        <x:v>0.2</x:v>
      </x:c>
      <x:c r="I115" t="str">
        <x:v>pi/4</x:v>
      </x:c>
      <x:c r="J115" s="26" t="n">
        <x:f>Raw_pure!G15</x:f>
        <x:v>0.0078125</x:v>
      </x:c>
      <x:c r="K115" s="26" t="n">
        <x:f>Raw_pure!H15</x:f>
        <x:v>0.5087890625</x:v>
      </x:c>
      <x:c r="L115" s="26" t="n">
        <x:f>Raw_pure!I15</x:f>
        <x:v>0.478515625</x:v>
      </x:c>
      <x:c r="M115" s="26" t="n">
        <x:f>Raw_pure!J15</x:f>
        <x:v>0.0048828125</x:v>
      </x:c>
      <x:c r="N115" s="26" t="n">
        <x:v>0.5</x:v>
      </x:c>
      <x:c r="O115" s="26" t="n">
        <x:v>0.5</x:v>
      </x:c>
      <x:c r="P115" s="26" t="n">
        <x:f>J115*E115+K115*F115+L115*G115+M115*H115</x:f>
        <x:v>0.4853515625</x:v>
      </x:c>
      <x:c r="Q115" s="26" t="n">
        <x:f>J115*E115+K115*G115+L115*F115+M115*H115</x:f>
        <x:v>0.515625</x:v>
      </x:c>
      <x:c r="R115" s="26" t="n">
        <x:f>(P115+Q115)/2</x:f>
        <x:v>0.50048828125</x:v>
      </x:c>
      <x:c r="S115" s="26" t="n">
        <x:f>P115-Q115</x:f>
        <x:v>-0.0302734375</x:v>
      </x:c>
      <x:c r="T115" s="26" t="n">
        <x:f>(P115-N115)^2+(Q115-O115)^2</x:f>
        <x:v>0.00045871734619140625</x:v>
      </x:c>
    </x:row>
    <x:row r="116">
      <x:c r="A116" t="str">
        <x:v>B</x:v>
      </x:c>
      <x:c r="B116" t="n">
        <x:v>13</x:v>
      </x:c>
      <x:c r="C116" t="str">
        <x:v>Case 3a(i) (PD), pure</x:v>
      </x:c>
      <x:c r="D116" t="str">
        <x:v>pure</x:v>
      </x:c>
      <x:c r="E116" s="26" t="n">
        <x:v>0.75</x:v>
      </x:c>
      <x:c r="F116" s="26" t="n">
        <x:v>0</x:v>
      </x:c>
      <x:c r="G116" s="26" t="n">
        <x:v>1</x:v>
      </x:c>
      <x:c r="H116" s="26" t="n">
        <x:v>0.2</x:v>
      </x:c>
      <x:c r="I116" t="str">
        <x:v>pi/4</x:v>
      </x:c>
      <x:c r="J116" s="26" t="n">
        <x:f>Raw_pure!G16</x:f>
        <x:v>0.0068359375</x:v>
      </x:c>
      <x:c r="K116" s="26" t="n">
        <x:f>Raw_pure!H16</x:f>
        <x:v>0.490234375</x:v>
      </x:c>
      <x:c r="L116" s="26" t="n">
        <x:f>Raw_pure!I16</x:f>
        <x:v>0.4912109375</x:v>
      </x:c>
      <x:c r="M116" s="26" t="n">
        <x:f>Raw_pure!J16</x:f>
        <x:v>0.01171875</x:v>
      </x:c>
      <x:c r="N116" s="26" t="n">
        <x:v>0.5</x:v>
      </x:c>
      <x:c r="O116" s="26" t="n">
        <x:v>0.5</x:v>
      </x:c>
      <x:c r="P116" s="26" t="n">
        <x:f>J116*E116+K116*F116+L116*G116+M116*H116</x:f>
        <x:v>0.498681640625</x:v>
      </x:c>
      <x:c r="Q116" s="26" t="n">
        <x:f>J116*E116+K116*G116+L116*F116+M116*H116</x:f>
        <x:v>0.497705078125</x:v>
      </x:c>
      <x:c r="R116" s="26" t="n">
        <x:f>(P116+Q116)/2</x:f>
        <x:v>0.498193359375</x:v>
      </x:c>
      <x:c r="S116" s="26" t="n">
        <x:f>P116-Q116</x:f>
        <x:v>0.0009765625</x:v>
      </x:c>
      <x:c r="T116" s="26" t="n">
        <x:f>(P116-N116)^2+(Q116-O116)^2</x:f>
        <x:v>0.000007004737854004066</x:v>
      </x:c>
    </x:row>
    <x:row r="117">
      <x:c r="A117" t="str">
        <x:v>B</x:v>
      </x:c>
      <x:c r="B117" t="n">
        <x:v>14</x:v>
      </x:c>
      <x:c r="C117" t="str">
        <x:v>Case 3a(i) (PD), pure</x:v>
      </x:c>
      <x:c r="D117" t="str">
        <x:v>pure</x:v>
      </x:c>
      <x:c r="E117" s="26" t="n">
        <x:v>0.75</x:v>
      </x:c>
      <x:c r="F117" s="26" t="n">
        <x:v>0</x:v>
      </x:c>
      <x:c r="G117" s="26" t="n">
        <x:v>1</x:v>
      </x:c>
      <x:c r="H117" s="26" t="n">
        <x:v>0.2</x:v>
      </x:c>
      <x:c r="I117" t="str">
        <x:v>pi/4</x:v>
      </x:c>
      <x:c r="J117" s="26" t="n">
        <x:f>Raw_pure!G17</x:f>
        <x:v>0.005859375</x:v>
      </x:c>
      <x:c r="K117" s="26" t="n">
        <x:f>Raw_pure!H17</x:f>
        <x:v>0.5009765625</x:v>
      </x:c>
      <x:c r="L117" s="26" t="n">
        <x:f>Raw_pure!I17</x:f>
        <x:v>0.486328125</x:v>
      </x:c>
      <x:c r="M117" s="26" t="n">
        <x:f>Raw_pure!J17</x:f>
        <x:v>0.0068359375</x:v>
      </x:c>
      <x:c r="N117" s="26" t="n">
        <x:v>0.5</x:v>
      </x:c>
      <x:c r="O117" s="26" t="n">
        <x:v>0.5</x:v>
      </x:c>
      <x:c r="P117" s="26" t="n">
        <x:f>J117*E117+K117*F117+L117*G117+M117*H117</x:f>
        <x:v>0.49208984375</x:v>
      </x:c>
      <x:c r="Q117" s="26" t="n">
        <x:f>J117*E117+K117*G117+L117*F117+M117*H117</x:f>
        <x:v>0.50673828125</x:v>
      </x:c>
      <x:c r="R117" s="26" t="n">
        <x:f>(P117+Q117)/2</x:f>
        <x:v>0.4994140625</x:v>
      </x:c>
      <x:c r="S117" s="26" t="n">
        <x:f>P117-Q117</x:f>
        <x:v>-0.0146484375</x:v>
      </x:c>
      <x:c r="T117" s="26" t="n">
        <x:f>(P117-N117)^2+(Q117-O117)^2</x:f>
        <x:v>0.00010797500610351568</x:v>
      </x:c>
    </x:row>
    <x:row r="118">
      <x:c r="A118" t="str">
        <x:v>B</x:v>
      </x:c>
      <x:c r="B118" t="n">
        <x:v>15</x:v>
      </x:c>
      <x:c r="C118" t="str">
        <x:v>Case 3a(i) (PD), pure</x:v>
      </x:c>
      <x:c r="D118" t="str">
        <x:v>pure</x:v>
      </x:c>
      <x:c r="E118" s="26" t="n">
        <x:v>0.75</x:v>
      </x:c>
      <x:c r="F118" s="26" t="n">
        <x:v>0</x:v>
      </x:c>
      <x:c r="G118" s="26" t="n">
        <x:v>1</x:v>
      </x:c>
      <x:c r="H118" s="26" t="n">
        <x:v>0.2</x:v>
      </x:c>
      <x:c r="I118" t="str">
        <x:v>pi/4</x:v>
      </x:c>
      <x:c r="J118" s="26" t="n">
        <x:f>Raw_pure!G18</x:f>
        <x:v>0.00390625</x:v>
      </x:c>
      <x:c r="K118" s="26" t="n">
        <x:f>Raw_pure!H18</x:f>
        <x:v>0.474609375</x:v>
      </x:c>
      <x:c r="L118" s="26" t="n">
        <x:f>Raw_pure!I18</x:f>
        <x:v>0.51953125</x:v>
      </x:c>
      <x:c r="M118" s="26" t="n">
        <x:f>Raw_pure!J18</x:f>
        <x:v>0.001953125</x:v>
      </x:c>
      <x:c r="N118" s="26" t="n">
        <x:v>0.5</x:v>
      </x:c>
      <x:c r="O118" s="26" t="n">
        <x:v>0.5</x:v>
      </x:c>
      <x:c r="P118" s="26" t="n">
        <x:f>J118*E118+K118*F118+L118*G118+M118*H118</x:f>
        <x:v>0.5228515625</x:v>
      </x:c>
      <x:c r="Q118" s="26" t="n">
        <x:f>J118*E118+K118*G118+L118*F118+M118*H118</x:f>
        <x:v>0.4779296875</x:v>
      </x:c>
      <x:c r="R118" s="26" t="n">
        <x:f>(P118+Q118)/2</x:f>
        <x:v>0.500390625</x:v>
      </x:c>
      <x:c r="S118" s="26" t="n">
        <x:f>P118-Q118</x:f>
        <x:v>0.044921875</x:v>
      </x:c>
      <x:c r="T118" s="26" t="n">
        <x:f>(P118-N118)^2+(Q118-O118)^2</x:f>
        <x:v>0.0010092926025390624</x:v>
      </x:c>
    </x:row>
    <x:row r="119">
      <x:c r="A119" t="str">
        <x:v>B</x:v>
      </x:c>
      <x:c r="B119" t="n">
        <x:v>16</x:v>
      </x:c>
      <x:c r="C119" t="str">
        <x:v>Case 3a(i) (PD), pure</x:v>
      </x:c>
      <x:c r="D119" t="str">
        <x:v>pure</x:v>
      </x:c>
      <x:c r="E119" s="26" t="n">
        <x:v>0.75</x:v>
      </x:c>
      <x:c r="F119" s="26" t="n">
        <x:v>0</x:v>
      </x:c>
      <x:c r="G119" s="26" t="n">
        <x:v>1</x:v>
      </x:c>
      <x:c r="H119" s="26" t="n">
        <x:v>0.2</x:v>
      </x:c>
      <x:c r="I119" t="str">
        <x:v>pi/4</x:v>
      </x:c>
      <x:c r="J119" s="26" t="n">
        <x:f>Raw_pure!G19</x:f>
        <x:v>0.0068359375</x:v>
      </x:c>
      <x:c r="K119" s="26" t="n">
        <x:f>Raw_pure!H19</x:f>
        <x:v>0.4931640625</x:v>
      </x:c>
      <x:c r="L119" s="26" t="n">
        <x:f>Raw_pure!I19</x:f>
        <x:v>0.4912109375</x:v>
      </x:c>
      <x:c r="M119" s="26" t="n">
        <x:f>Raw_pure!J19</x:f>
        <x:v>0.0087890625</x:v>
      </x:c>
      <x:c r="N119" s="26" t="n">
        <x:v>0.5</x:v>
      </x:c>
      <x:c r="O119" s="26" t="n">
        <x:v>0.5</x:v>
      </x:c>
      <x:c r="P119" s="26" t="n">
        <x:f>J119*E119+K119*F119+L119*G119+M119*H119</x:f>
        <x:v>0.498095703125</x:v>
      </x:c>
      <x:c r="Q119" s="26" t="n">
        <x:f>J119*E119+K119*G119+L119*F119+M119*H119</x:f>
        <x:v>0.500048828125</x:v>
      </x:c>
      <x:c r="R119" s="26" t="n">
        <x:f>(P119+Q119)/2</x:f>
        <x:v>0.49907226562499996</x:v>
      </x:c>
      <x:c r="S119" s="26" t="n">
        <x:f>P119-Q119</x:f>
        <x:v>-0.0019531249999999445</x:v>
      </x:c>
      <x:c r="T119" s="26" t="n">
        <x:f>(P119-N119)^2+(Q119-O119)^2</x:f>
        <x:v>0.000003628730773925735</x:v>
      </x:c>
    </x:row>
    <x:row r="120">
      <x:c r="A120" t="str">
        <x:v>B</x:v>
      </x:c>
      <x:c r="B120" t="n">
        <x:v>17</x:v>
      </x:c>
      <x:c r="C120" t="str">
        <x:v>Case 3a(i) (PD), pure</x:v>
      </x:c>
      <x:c r="D120" t="str">
        <x:v>pure</x:v>
      </x:c>
      <x:c r="E120" s="26" t="n">
        <x:v>0.75</x:v>
      </x:c>
      <x:c r="F120" s="26" t="n">
        <x:v>0</x:v>
      </x:c>
      <x:c r="G120" s="26" t="n">
        <x:v>1</x:v>
      </x:c>
      <x:c r="H120" s="26" t="n">
        <x:v>0.2</x:v>
      </x:c>
      <x:c r="I120" t="str">
        <x:v>pi/4</x:v>
      </x:c>
      <x:c r="J120" s="26" t="n">
        <x:f>Raw_pure!G20</x:f>
        <x:v>0.0126953125</x:v>
      </x:c>
      <x:c r="K120" s="26" t="n">
        <x:f>Raw_pure!H20</x:f>
        <x:v>0.51171875</x:v>
      </x:c>
      <x:c r="L120" s="26" t="n">
        <x:f>Raw_pure!I20</x:f>
        <x:v>0.4697265625</x:v>
      </x:c>
      <x:c r="M120" s="26" t="n">
        <x:f>Raw_pure!J20</x:f>
        <x:v>0.005859375</x:v>
      </x:c>
      <x:c r="N120" s="26" t="n">
        <x:v>0.5</x:v>
      </x:c>
      <x:c r="O120" s="26" t="n">
        <x:v>0.5</x:v>
      </x:c>
      <x:c r="P120" s="26" t="n">
        <x:f>J120*E120+K120*F120+L120*G120+M120*H120</x:f>
        <x:v>0.480419921875</x:v>
      </x:c>
      <x:c r="Q120" s="26" t="n">
        <x:f>J120*E120+K120*G120+L120*F120+M120*H120</x:f>
        <x:v>0.522412109375</x:v>
      </x:c>
      <x:c r="R120" s="26" t="n">
        <x:f>(P120+Q120)/2</x:f>
        <x:v>0.501416015625</x:v>
      </x:c>
      <x:c r="S120" s="26" t="n">
        <x:f>P120-Q120</x:f>
        <x:v>-0.041992187500000056</x:v>
      </x:c>
      <x:c r="T120" s="26" t="n">
        <x:f>(P120-N120)^2+(Q120-O120)^2</x:f>
        <x:v>0.0008856821060180687</x:v>
      </x:c>
    </x:row>
    <x:row r="121">
      <x:c r="A121" t="str">
        <x:v>B</x:v>
      </x:c>
      <x:c r="B121" t="n">
        <x:v>18</x:v>
      </x:c>
      <x:c r="C121" t="str">
        <x:v>Case 3a(i) (PD), pure</x:v>
      </x:c>
      <x:c r="D121" t="str">
        <x:v>pure</x:v>
      </x:c>
      <x:c r="E121" s="26" t="n">
        <x:v>0.75</x:v>
      </x:c>
      <x:c r="F121" s="26" t="n">
        <x:v>0</x:v>
      </x:c>
      <x:c r="G121" s="26" t="n">
        <x:v>1</x:v>
      </x:c>
      <x:c r="H121" s="26" t="n">
        <x:v>0.2</x:v>
      </x:c>
      <x:c r="I121" t="str">
        <x:v>pi/4</x:v>
      </x:c>
      <x:c r="J121" s="26" t="n">
        <x:f>Raw_pure!G21</x:f>
        <x:v>0.0068359375</x:v>
      </x:c>
      <x:c r="K121" s="26" t="n">
        <x:f>Raw_pure!H21</x:f>
        <x:v>0.4794921875</x:v>
      </x:c>
      <x:c r="L121" s="26" t="n">
        <x:f>Raw_pure!I21</x:f>
        <x:v>0.5048828125</x:v>
      </x:c>
      <x:c r="M121" s="26" t="n">
        <x:f>Raw_pure!J21</x:f>
        <x:v>0.0087890625</x:v>
      </x:c>
      <x:c r="N121" s="26" t="n">
        <x:v>0.5</x:v>
      </x:c>
      <x:c r="O121" s="26" t="n">
        <x:v>0.5</x:v>
      </x:c>
      <x:c r="P121" s="26" t="n">
        <x:f>J121*E121+K121*F121+L121*G121+M121*H121</x:f>
        <x:v>0.511767578125</x:v>
      </x:c>
      <x:c r="Q121" s="26" t="n">
        <x:f>J121*E121+K121*G121+L121*F121+M121*H121</x:f>
        <x:v>0.486376953125</x:v>
      </x:c>
      <x:c r="R121" s="26" t="n">
        <x:f>(P121+Q121)/2</x:f>
        <x:v>0.49907226562499996</x:v>
      </x:c>
      <x:c r="S121" s="26" t="n">
        <x:f>P121-Q121</x:f>
        <x:v>0.025390624999999944</x:v>
      </x:c>
      <x:c r="T121" s="26" t="n">
        <x:f>(P121-N121)^2+(Q121-O121)^2</x:f>
        <x:v>0.00032406330108642443</x:v>
      </x:c>
    </x:row>
    <x:row r="122">
      <x:c r="A122" t="str">
        <x:v>B</x:v>
      </x:c>
      <x:c r="B122" t="n">
        <x:v>19</x:v>
      </x:c>
      <x:c r="C122" t="str">
        <x:v>Case 3a(i) (PD), pure</x:v>
      </x:c>
      <x:c r="D122" t="str">
        <x:v>pure</x:v>
      </x:c>
      <x:c r="E122" s="26" t="n">
        <x:v>0.75</x:v>
      </x:c>
      <x:c r="F122" s="26" t="n">
        <x:v>0</x:v>
      </x:c>
      <x:c r="G122" s="26" t="n">
        <x:v>1</x:v>
      </x:c>
      <x:c r="H122" s="26" t="n">
        <x:v>0.2</x:v>
      </x:c>
      <x:c r="I122" t="str">
        <x:v>pi/4</x:v>
      </x:c>
      <x:c r="J122" s="26" t="n">
        <x:f>Raw_pure!G22</x:f>
        <x:v>0.0126953125</x:v>
      </x:c>
      <x:c r="K122" s="26" t="n">
        <x:f>Raw_pure!H22</x:f>
        <x:v>0.4716796875</x:v>
      </x:c>
      <x:c r="L122" s="26" t="n">
        <x:f>Raw_pure!I22</x:f>
        <x:v>0.5087890625</x:v>
      </x:c>
      <x:c r="M122" s="26" t="n">
        <x:f>Raw_pure!J22</x:f>
        <x:v>0.0068359375</x:v>
      </x:c>
      <x:c r="N122" s="26" t="n">
        <x:v>0.5</x:v>
      </x:c>
      <x:c r="O122" s="26" t="n">
        <x:v>0.5</x:v>
      </x:c>
      <x:c r="P122" s="26" t="n">
        <x:f>J122*E122+K122*F122+L122*G122+M122*H122</x:f>
        <x:v>0.519677734375</x:v>
      </x:c>
      <x:c r="Q122" s="26" t="n">
        <x:f>J122*E122+K122*G122+L122*F122+M122*H122</x:f>
        <x:v>0.482568359375</x:v>
      </x:c>
      <x:c r="R122" s="26" t="n">
        <x:f>(P122+Q122)/2</x:f>
        <x:v>0.501123046875</x:v>
      </x:c>
      <x:c r="S122" s="26" t="n">
        <x:f>P122-Q122</x:f>
        <x:v>0.037109375</x:v>
      </x:c>
      <x:c r="T122" s="26" t="n">
        <x:f>(P122-N122)^2+(Q122-O122)^2</x:f>
        <x:v>0.0006910753250122069</x:v>
      </x:c>
    </x:row>
    <x:row r="123">
      <x:c r="A123" t="str">
        <x:v>B</x:v>
      </x:c>
      <x:c r="B123" t="n">
        <x:v>20</x:v>
      </x:c>
      <x:c r="C123" t="str">
        <x:v>Case 3a(i) (PD), pure</x:v>
      </x:c>
      <x:c r="D123" t="str">
        <x:v>pure</x:v>
      </x:c>
      <x:c r="E123" s="26" t="n">
        <x:v>0.75</x:v>
      </x:c>
      <x:c r="F123" s="26" t="n">
        <x:v>0</x:v>
      </x:c>
      <x:c r="G123" s="26" t="n">
        <x:v>1</x:v>
      </x:c>
      <x:c r="H123" s="26" t="n">
        <x:v>0.2</x:v>
      </x:c>
      <x:c r="I123" t="str">
        <x:v>pi/4</x:v>
      </x:c>
      <x:c r="J123" s="26" t="n">
        <x:f>Raw_pure!G23</x:f>
        <x:v>0.009765625</x:v>
      </x:c>
      <x:c r="K123" s="26" t="n">
        <x:f>Raw_pure!H23</x:f>
        <x:v>0.4736328125</x:v>
      </x:c>
      <x:c r="L123" s="26" t="n">
        <x:f>Raw_pure!I23</x:f>
        <x:v>0.509765625</x:v>
      </x:c>
      <x:c r="M123" s="26" t="n">
        <x:f>Raw_pure!J23</x:f>
        <x:v>0.0068359375</x:v>
      </x:c>
      <x:c r="N123" s="26" t="n">
        <x:v>0.5</x:v>
      </x:c>
      <x:c r="O123" s="26" t="n">
        <x:v>0.5</x:v>
      </x:c>
      <x:c r="P123" s="26" t="n">
        <x:f>J123*E123+K123*F123+L123*G123+M123*H123</x:f>
        <x:v>0.51845703125</x:v>
      </x:c>
      <x:c r="Q123" s="26" t="n">
        <x:f>J123*E123+K123*G123+L123*F123+M123*H123</x:f>
        <x:v>0.48232421875</x:v>
      </x:c>
      <x:c r="R123" s="26" t="n">
        <x:f>(P123+Q123)/2</x:f>
        <x:v>0.500390625</x:v>
      </x:c>
      <x:c r="S123" s="26" t="n">
        <x:f>P123-Q123</x:f>
        <x:v>0.0361328125</x:v>
      </x:c>
      <x:c r="T123" s="26" t="n">
        <x:f>(P123-N123)^2+(Q123-O123)^2</x:f>
        <x:v>0.0006530952453613281</x:v>
      </x:c>
    </x:row>
    <x:row r="124">
      <x:c r="A124" t="str">
        <x:v>B</x:v>
      </x:c>
      <x:c r="B124" t="n">
        <x:v>21</x:v>
      </x:c>
      <x:c r="C124" t="str">
        <x:v>Case 3a(i) (PD), pure</x:v>
      </x:c>
      <x:c r="D124" t="str">
        <x:v>pure</x:v>
      </x:c>
      <x:c r="E124" s="26" t="n">
        <x:v>0.75</x:v>
      </x:c>
      <x:c r="F124" s="26" t="n">
        <x:v>0</x:v>
      </x:c>
      <x:c r="G124" s="26" t="n">
        <x:v>1</x:v>
      </x:c>
      <x:c r="H124" s="26" t="n">
        <x:v>0.2</x:v>
      </x:c>
      <x:c r="I124" t="str">
        <x:v>pi/4</x:v>
      </x:c>
      <x:c r="J124" s="26" t="n">
        <x:f>Raw_pure!G24</x:f>
        <x:v>0.0068359375</x:v>
      </x:c>
      <x:c r="K124" s="26" t="n">
        <x:f>Raw_pure!H24</x:f>
        <x:v>0.4912109375</x:v>
      </x:c>
      <x:c r="L124" s="26" t="n">
        <x:f>Raw_pure!I24</x:f>
        <x:v>0.4921875</x:v>
      </x:c>
      <x:c r="M124" s="26" t="n">
        <x:f>Raw_pure!J24</x:f>
        <x:v>0.009765625</x:v>
      </x:c>
      <x:c r="N124" s="26" t="n">
        <x:v>0.5</x:v>
      </x:c>
      <x:c r="O124" s="26" t="n">
        <x:v>0.5</x:v>
      </x:c>
      <x:c r="P124" s="26" t="n">
        <x:f>J124*E124+K124*F124+L124*G124+M124*H124</x:f>
        <x:v>0.499267578125</x:v>
      </x:c>
      <x:c r="Q124" s="26" t="n">
        <x:f>J124*E124+K124*G124+L124*F124+M124*H124</x:f>
        <x:v>0.498291015625</x:v>
      </x:c>
      <x:c r="R124" s="26" t="n">
        <x:f>(P124+Q124)/2</x:f>
        <x:v>0.498779296875</x:v>
      </x:c>
      <x:c r="S124" s="26" t="n">
        <x:f>P124-Q124</x:f>
        <x:v>0.0009765625</x:v>
      </x:c>
      <x:c r="T124" s="26" t="n">
        <x:f>(P124-N124)^2+(Q124-O124)^2</x:f>
        <x:v>0.0000034570693969726562</x:v>
      </x:c>
    </x:row>
    <x:row r="125">
      <x:c r="A125" t="str">
        <x:v>B</x:v>
      </x:c>
      <x:c r="B125" t="n">
        <x:v>22</x:v>
      </x:c>
      <x:c r="C125" t="str">
        <x:v>Case 3a(i) (PD), pure</x:v>
      </x:c>
      <x:c r="D125" t="str">
        <x:v>pure</x:v>
      </x:c>
      <x:c r="E125" s="26" t="n">
        <x:v>0.75</x:v>
      </x:c>
      <x:c r="F125" s="26" t="n">
        <x:v>0</x:v>
      </x:c>
      <x:c r="G125" s="26" t="n">
        <x:v>1</x:v>
      </x:c>
      <x:c r="H125" s="26" t="n">
        <x:v>0.2</x:v>
      </x:c>
      <x:c r="I125" t="str">
        <x:v>pi/4</x:v>
      </x:c>
      <x:c r="J125" s="26" t="n">
        <x:f>Raw_pure!G25</x:f>
        <x:v>0.005859375</x:v>
      </x:c>
      <x:c r="K125" s="26" t="n">
        <x:f>Raw_pure!H25</x:f>
        <x:v>0.4921875</x:v>
      </x:c>
      <x:c r="L125" s="26" t="n">
        <x:f>Raw_pure!I25</x:f>
        <x:v>0.49609375</x:v>
      </x:c>
      <x:c r="M125" s="26" t="n">
        <x:f>Raw_pure!J25</x:f>
        <x:v>0.005859375</x:v>
      </x:c>
      <x:c r="N125" s="26" t="n">
        <x:v>0.5</x:v>
      </x:c>
      <x:c r="O125" s="26" t="n">
        <x:v>0.5</x:v>
      </x:c>
      <x:c r="P125" s="26" t="n">
        <x:f>J125*E125+K125*F125+L125*G125+M125*H125</x:f>
        <x:v>0.50166015625</x:v>
      </x:c>
      <x:c r="Q125" s="26" t="n">
        <x:f>J125*E125+K125*G125+L125*F125+M125*H125</x:f>
        <x:v>0.49775390625</x:v>
      </x:c>
      <x:c r="R125" s="26" t="n">
        <x:f>(P125+Q125)/2</x:f>
        <x:v>0.49970703125000004</x:v>
      </x:c>
      <x:c r="S125" s="26" t="n">
        <x:f>P125-Q125</x:f>
        <x:v>0.0039062500000000555</x:v>
      </x:c>
      <x:c r="T125" s="26" t="n">
        <x:f>(P125-N125)^2+(Q125-O125)^2</x:f>
        <x:v>0.000007801055908203323</x:v>
      </x:c>
    </x:row>
    <x:row r="126">
      <x:c r="A126" t="str">
        <x:v>B</x:v>
      </x:c>
      <x:c r="B126" t="n">
        <x:v>23</x:v>
      </x:c>
      <x:c r="C126" t="str">
        <x:v>Case 3a(i) (PD), pure</x:v>
      </x:c>
      <x:c r="D126" t="str">
        <x:v>pure</x:v>
      </x:c>
      <x:c r="E126" s="26" t="n">
        <x:v>0.75</x:v>
      </x:c>
      <x:c r="F126" s="26" t="n">
        <x:v>0</x:v>
      </x:c>
      <x:c r="G126" s="26" t="n">
        <x:v>1</x:v>
      </x:c>
      <x:c r="H126" s="26" t="n">
        <x:v>0.2</x:v>
      </x:c>
      <x:c r="I126" t="str">
        <x:v>pi/4</x:v>
      </x:c>
      <x:c r="J126" s="26" t="n">
        <x:f>Raw_pure!G26</x:f>
        <x:v>0.005859375</x:v>
      </x:c>
      <x:c r="K126" s="26" t="n">
        <x:f>Raw_pure!H26</x:f>
        <x:v>0.5185546875</x:v>
      </x:c>
      <x:c r="L126" s="26" t="n">
        <x:f>Raw_pure!I26</x:f>
        <x:v>0.4658203125</x:v>
      </x:c>
      <x:c r="M126" s="26" t="n">
        <x:f>Raw_pure!J26</x:f>
        <x:v>0.009765625</x:v>
      </x:c>
      <x:c r="N126" s="26" t="n">
        <x:v>0.5</x:v>
      </x:c>
      <x:c r="O126" s="26" t="n">
        <x:v>0.5</x:v>
      </x:c>
      <x:c r="P126" s="26" t="n">
        <x:f>J126*E126+K126*F126+L126*G126+M126*H126</x:f>
        <x:v>0.47216796875</x:v>
      </x:c>
      <x:c r="Q126" s="26" t="n">
        <x:f>J126*E126+K126*G126+L126*F126+M126*H126</x:f>
        <x:v>0.52490234375</x:v>
      </x:c>
      <x:c r="R126" s="26" t="n">
        <x:f>(P126+Q126)/2</x:f>
        <x:v>0.49853515625</x:v>
      </x:c>
      <x:c r="S126" s="26" t="n">
        <x:f>P126-Q126</x:f>
        <x:v>-0.052734375</x:v>
      </x:c>
      <x:c r="T126" s="26" t="n">
        <x:f>(P126-N126)^2+(Q126-O126)^2</x:f>
        <x:v>0.0013947486877441406</x:v>
      </x:c>
    </x:row>
    <x:row r="127">
      <x:c r="A127" t="str">
        <x:v>B</x:v>
      </x:c>
      <x:c r="B127" t="n">
        <x:v>24</x:v>
      </x:c>
      <x:c r="C127" t="str">
        <x:v>Case 3a(i) (PD), pure</x:v>
      </x:c>
      <x:c r="D127" t="str">
        <x:v>pure</x:v>
      </x:c>
      <x:c r="E127" s="26" t="n">
        <x:v>0.75</x:v>
      </x:c>
      <x:c r="F127" s="26" t="n">
        <x:v>0</x:v>
      </x:c>
      <x:c r="G127" s="26" t="n">
        <x:v>1</x:v>
      </x:c>
      <x:c r="H127" s="26" t="n">
        <x:v>0.2</x:v>
      </x:c>
      <x:c r="I127" t="str">
        <x:v>pi/4</x:v>
      </x:c>
      <x:c r="J127" s="26" t="n">
        <x:f>Raw_pure!G27</x:f>
        <x:v>0.0068359375</x:v>
      </x:c>
      <x:c r="K127" s="26" t="n">
        <x:f>Raw_pure!H27</x:f>
        <x:v>0.4775390625</x:v>
      </x:c>
      <x:c r="L127" s="26" t="n">
        <x:f>Raw_pure!I27</x:f>
        <x:v>0.509765625</x:v>
      </x:c>
      <x:c r="M127" s="26" t="n">
        <x:f>Raw_pure!J27</x:f>
        <x:v>0.005859375</x:v>
      </x:c>
      <x:c r="N127" s="26" t="n">
        <x:v>0.5</x:v>
      </x:c>
      <x:c r="O127" s="26" t="n">
        <x:v>0.5</x:v>
      </x:c>
      <x:c r="P127" s="26" t="n">
        <x:f>J127*E127+K127*F127+L127*G127+M127*H127</x:f>
        <x:v>0.516064453125</x:v>
      </x:c>
      <x:c r="Q127" s="26" t="n">
        <x:f>J127*E127+K127*G127+L127*F127+M127*H127</x:f>
        <x:v>0.483837890625</x:v>
      </x:c>
      <x:c r="R127" s="26" t="n">
        <x:f>(P127+Q127)/2</x:f>
        <x:v>0.49995117187500004</x:v>
      </x:c>
      <x:c r="S127" s="26" t="n">
        <x:f>P127-Q127</x:f>
        <x:v>0.032226562500000056</x:v>
      </x:c>
      <x:c r="T127" s="26" t="n">
        <x:f>(P127-N127)^2+(Q127-O127)^2</x:f>
        <x:v>0.000519280433654787</x:v>
      </x:c>
    </x:row>
    <x:row r="128">
      <x:c r="A128" t="str">
        <x:v>B</x:v>
      </x:c>
      <x:c r="B128" t="n">
        <x:v>25</x:v>
      </x:c>
      <x:c r="C128" t="str">
        <x:v>Case 3a(i) (PD), pure</x:v>
      </x:c>
      <x:c r="D128" t="str">
        <x:v>pure</x:v>
      </x:c>
      <x:c r="E128" s="26" t="n">
        <x:v>0.75</x:v>
      </x:c>
      <x:c r="F128" s="26" t="n">
        <x:v>0</x:v>
      </x:c>
      <x:c r="G128" s="26" t="n">
        <x:v>1</x:v>
      </x:c>
      <x:c r="H128" s="26" t="n">
        <x:v>0.2</x:v>
      </x:c>
      <x:c r="I128" t="str">
        <x:v>pi/4</x:v>
      </x:c>
      <x:c r="J128" s="26" t="n">
        <x:f>Raw_pure!G28</x:f>
        <x:v>0.0068359375</x:v>
      </x:c>
      <x:c r="K128" s="26" t="n">
        <x:f>Raw_pure!H28</x:f>
        <x:v>0.5107421875</x:v>
      </x:c>
      <x:c r="L128" s="26" t="n">
        <x:f>Raw_pure!I28</x:f>
        <x:v>0.474609375</x:v>
      </x:c>
      <x:c r="M128" s="26" t="n">
        <x:f>Raw_pure!J28</x:f>
        <x:v>0.0078125</x:v>
      </x:c>
      <x:c r="N128" s="26" t="n">
        <x:v>0.5</x:v>
      </x:c>
      <x:c r="O128" s="26" t="n">
        <x:v>0.5</x:v>
      </x:c>
      <x:c r="P128" s="26" t="n">
        <x:f>J128*E128+K128*F128+L128*G128+M128*H128</x:f>
        <x:v>0.481298828125</x:v>
      </x:c>
      <x:c r="Q128" s="26" t="n">
        <x:f>J128*E128+K128*G128+L128*F128+M128*H128</x:f>
        <x:v>0.517431640625</x:v>
      </x:c>
      <x:c r="R128" s="26" t="n">
        <x:f>(P128+Q128)/2</x:f>
        <x:v>0.499365234375</x:v>
      </x:c>
      <x:c r="S128" s="26" t="n">
        <x:f>P128-Q128</x:f>
        <x:v>-0.0361328125</x:v>
      </x:c>
      <x:c r="T128" s="26" t="n">
        <x:f>(P128-N128)^2+(Q128-O128)^2</x:f>
        <x:v>0.0006535959243774413</x:v>
      </x:c>
    </x:row>
    <x:row r="129">
      <x:c r="A129" t="str">
        <x:v>B</x:v>
      </x:c>
      <x:c r="B129" t="n">
        <x:v>26</x:v>
      </x:c>
      <x:c r="C129" t="str">
        <x:v>Case 3a(i) (PD), pure</x:v>
      </x:c>
      <x:c r="D129" t="str">
        <x:v>pure</x:v>
      </x:c>
      <x:c r="E129" s="26" t="n">
        <x:v>0.75</x:v>
      </x:c>
      <x:c r="F129" s="26" t="n">
        <x:v>0</x:v>
      </x:c>
      <x:c r="G129" s="26" t="n">
        <x:v>1</x:v>
      </x:c>
      <x:c r="H129" s="26" t="n">
        <x:v>0.2</x:v>
      </x:c>
      <x:c r="I129" t="str">
        <x:v>pi/4</x:v>
      </x:c>
      <x:c r="J129" s="26" t="n">
        <x:f>Raw_pure!G29</x:f>
        <x:v>0.005859375</x:v>
      </x:c>
      <x:c r="K129" s="26" t="n">
        <x:f>Raw_pure!H29</x:f>
        <x:v>0.5078125</x:v>
      </x:c>
      <x:c r="L129" s="26" t="n">
        <x:f>Raw_pure!I29</x:f>
        <x:v>0.4765625</x:v>
      </x:c>
      <x:c r="M129" s="26" t="n">
        <x:f>Raw_pure!J29</x:f>
        <x:v>0.009765625</x:v>
      </x:c>
      <x:c r="N129" s="26" t="n">
        <x:v>0.5</x:v>
      </x:c>
      <x:c r="O129" s="26" t="n">
        <x:v>0.5</x:v>
      </x:c>
      <x:c r="P129" s="26" t="n">
        <x:f>J129*E129+K129*F129+L129*G129+M129*H129</x:f>
        <x:v>0.48291015625</x:v>
      </x:c>
      <x:c r="Q129" s="26" t="n">
        <x:f>J129*E129+K129*G129+L129*F129+M129*H129</x:f>
        <x:v>0.51416015625</x:v>
      </x:c>
      <x:c r="R129" s="26" t="n">
        <x:f>(P129+Q129)/2</x:f>
        <x:v>0.49853515625</x:v>
      </x:c>
      <x:c r="S129" s="26" t="n">
        <x:f>P129-Q129</x:f>
        <x:v>-0.03125</x:v>
      </x:c>
      <x:c r="T129" s="26" t="n">
        <x:f>(P129-N129)^2+(Q129-O129)^2</x:f>
        <x:v>0.0004925727844238281</x:v>
      </x:c>
    </x:row>
    <x:row r="130">
      <x:c r="A130" t="str">
        <x:v>B</x:v>
      </x:c>
      <x:c r="B130" t="n">
        <x:v>27</x:v>
      </x:c>
      <x:c r="C130" t="str">
        <x:v>Case 3a(i) (PD), pure</x:v>
      </x:c>
      <x:c r="D130" t="str">
        <x:v>pure</x:v>
      </x:c>
      <x:c r="E130" s="26" t="n">
        <x:v>0.75</x:v>
      </x:c>
      <x:c r="F130" s="26" t="n">
        <x:v>0</x:v>
      </x:c>
      <x:c r="G130" s="26" t="n">
        <x:v>1</x:v>
      </x:c>
      <x:c r="H130" s="26" t="n">
        <x:v>0.2</x:v>
      </x:c>
      <x:c r="I130" t="str">
        <x:v>pi/4</x:v>
      </x:c>
      <x:c r="J130" s="26" t="n">
        <x:f>Raw_pure!G30</x:f>
        <x:v>0.01171875</x:v>
      </x:c>
      <x:c r="K130" s="26" t="n">
        <x:f>Raw_pure!H30</x:f>
        <x:v>0.494140625</x:v>
      </x:c>
      <x:c r="L130" s="26" t="n">
        <x:f>Raw_pure!I30</x:f>
        <x:v>0.4912109375</x:v>
      </x:c>
      <x:c r="M130" s="26" t="n">
        <x:f>Raw_pure!J30</x:f>
        <x:v>0.0029296875</x:v>
      </x:c>
      <x:c r="N130" s="26" t="n">
        <x:v>0.5</x:v>
      </x:c>
      <x:c r="O130" s="26" t="n">
        <x:v>0.5</x:v>
      </x:c>
      <x:c r="P130" s="26" t="n">
        <x:f>J130*E130+K130*F130+L130*G130+M130*H130</x:f>
        <x:v>0.5005859375</x:v>
      </x:c>
      <x:c r="Q130" s="26" t="n">
        <x:f>J130*E130+K130*G130+L130*F130+M130*H130</x:f>
        <x:v>0.503515625</x:v>
      </x:c>
      <x:c r="R130" s="26" t="n">
        <x:f>(P130+Q130)/2</x:f>
        <x:v>0.50205078125</x:v>
      </x:c>
      <x:c r="S130" s="26" t="n">
        <x:f>P130-Q130</x:f>
        <x:v>-0.0029296875</x:v>
      </x:c>
      <x:c r="T130" s="26" t="n">
        <x:f>(P130-N130)^2+(Q130-O130)^2</x:f>
        <x:v>0.000012702941894531433</x:v>
      </x:c>
    </x:row>
    <x:row r="131">
      <x:c r="A131" t="str">
        <x:v>B</x:v>
      </x:c>
      <x:c r="B131" t="n">
        <x:v>28</x:v>
      </x:c>
      <x:c r="C131" t="str">
        <x:v>Case 3a(i) (PD), pure</x:v>
      </x:c>
      <x:c r="D131" t="str">
        <x:v>pure</x:v>
      </x:c>
      <x:c r="E131" s="26" t="n">
        <x:v>0.75</x:v>
      </x:c>
      <x:c r="F131" s="26" t="n">
        <x:v>0</x:v>
      </x:c>
      <x:c r="G131" s="26" t="n">
        <x:v>1</x:v>
      </x:c>
      <x:c r="H131" s="26" t="n">
        <x:v>0.2</x:v>
      </x:c>
      <x:c r="I131" t="str">
        <x:v>pi/4</x:v>
      </x:c>
      <x:c r="J131" s="26" t="n">
        <x:f>Raw_pure!G31</x:f>
        <x:v>0.009765625</x:v>
      </x:c>
      <x:c r="K131" s="26" t="n">
        <x:f>Raw_pure!H31</x:f>
        <x:v>0.484375</x:v>
      </x:c>
      <x:c r="L131" s="26" t="n">
        <x:f>Raw_pure!I31</x:f>
        <x:v>0.494140625</x:v>
      </x:c>
      <x:c r="M131" s="26" t="n">
        <x:f>Raw_pure!J31</x:f>
        <x:v>0.01171875</x:v>
      </x:c>
      <x:c r="N131" s="26" t="n">
        <x:v>0.5</x:v>
      </x:c>
      <x:c r="O131" s="26" t="n">
        <x:v>0.5</x:v>
      </x:c>
      <x:c r="P131" s="26" t="n">
        <x:f>J131*E131+K131*F131+L131*G131+M131*H131</x:f>
        <x:v>0.50380859375</x:v>
      </x:c>
      <x:c r="Q131" s="26" t="n">
        <x:f>J131*E131+K131*G131+L131*F131+M131*H131</x:f>
        <x:v>0.49404296875</x:v>
      </x:c>
      <x:c r="R131" s="26" t="n">
        <x:f>(P131+Q131)/2</x:f>
        <x:v>0.49892578125</x:v>
      </x:c>
      <x:c r="S131" s="26" t="n">
        <x:f>P131-Q131</x:f>
        <x:v>0.009765625</x:v>
      </x:c>
      <x:c r="T131" s="26" t="n">
        <x:f>(P131-N131)^2+(Q131-O131)^2</x:f>
        <x:v>0.00004999160766601572</x:v>
      </x:c>
    </x:row>
    <x:row r="132">
      <x:c r="A132" t="str">
        <x:v>B</x:v>
      </x:c>
      <x:c r="B132" t="n">
        <x:v>29</x:v>
      </x:c>
      <x:c r="C132" t="str">
        <x:v>Case 3a(i) (PD), pure</x:v>
      </x:c>
      <x:c r="D132" t="str">
        <x:v>pure</x:v>
      </x:c>
      <x:c r="E132" s="26" t="n">
        <x:v>0.75</x:v>
      </x:c>
      <x:c r="F132" s="26" t="n">
        <x:v>0</x:v>
      </x:c>
      <x:c r="G132" s="26" t="n">
        <x:v>1</x:v>
      </x:c>
      <x:c r="H132" s="26" t="n">
        <x:v>0.2</x:v>
      </x:c>
      <x:c r="I132" t="str">
        <x:v>pi/4</x:v>
      </x:c>
      <x:c r="J132" s="26" t="n">
        <x:f>Raw_pure!G32</x:f>
        <x:v>0.0078125</x:v>
      </x:c>
      <x:c r="K132" s="26" t="n">
        <x:f>Raw_pure!H32</x:f>
        <x:v>0.4833984375</x:v>
      </x:c>
      <x:c r="L132" s="26" t="n">
        <x:f>Raw_pure!I32</x:f>
        <x:v>0.5</x:v>
      </x:c>
      <x:c r="M132" s="26" t="n">
        <x:f>Raw_pure!J32</x:f>
        <x:v>0.0087890625</x:v>
      </x:c>
      <x:c r="N132" s="26" t="n">
        <x:v>0.5</x:v>
      </x:c>
      <x:c r="O132" s="26" t="n">
        <x:v>0.5</x:v>
      </x:c>
      <x:c r="P132" s="26" t="n">
        <x:f>J132*E132+K132*F132+L132*G132+M132*H132</x:f>
        <x:v>0.5076171875</x:v>
      </x:c>
      <x:c r="Q132" s="26" t="n">
        <x:f>J132*E132+K132*G132+L132*F132+M132*H132</x:f>
        <x:v>0.491015625</x:v>
      </x:c>
      <x:c r="R132" s="26" t="n">
        <x:f>(P132+Q132)/2</x:f>
        <x:v>0.49931640624999996</x:v>
      </x:c>
      <x:c r="S132" s="26" t="n">
        <x:f>P132-Q132</x:f>
        <x:v>0.016601562499999944</x:v>
      </x:c>
      <x:c r="T132" s="26" t="n">
        <x:f>(P132-N132)^2+(Q132-O132)^2</x:f>
        <x:v>0.00013874053955078037</x:v>
      </x:c>
    </x:row>
    <x:row r="133">
      <x:c r="A133" t="str">
        <x:v>B</x:v>
      </x:c>
      <x:c r="B133" t="n">
        <x:v>30</x:v>
      </x:c>
      <x:c r="C133" t="str">
        <x:v>Case 3a(i) (PD), pure</x:v>
      </x:c>
      <x:c r="D133" t="str">
        <x:v>pure</x:v>
      </x:c>
      <x:c r="E133" s="26" t="n">
        <x:v>0.75</x:v>
      </x:c>
      <x:c r="F133" s="26" t="n">
        <x:v>0</x:v>
      </x:c>
      <x:c r="G133" s="26" t="n">
        <x:v>1</x:v>
      </x:c>
      <x:c r="H133" s="26" t="n">
        <x:v>0.2</x:v>
      </x:c>
      <x:c r="I133" t="str">
        <x:v>pi/4</x:v>
      </x:c>
      <x:c r="J133" s="26" t="n">
        <x:f>Raw_pure!G33</x:f>
        <x:v>0.0009765625</x:v>
      </x:c>
      <x:c r="K133" s="26" t="n">
        <x:f>Raw_pure!H33</x:f>
        <x:v>0.513671875</x:v>
      </x:c>
      <x:c r="L133" s="26" t="n">
        <x:f>Raw_pure!I33</x:f>
        <x:v>0.4736328125</x:v>
      </x:c>
      <x:c r="M133" s="26" t="n">
        <x:f>Raw_pure!J33</x:f>
        <x:v>0.01171875</x:v>
      </x:c>
      <x:c r="N133" s="26" t="n">
        <x:v>0.5</x:v>
      </x:c>
      <x:c r="O133" s="26" t="n">
        <x:v>0.5</x:v>
      </x:c>
      <x:c r="P133" s="26" t="n">
        <x:f>J133*E133+K133*F133+L133*G133+M133*H133</x:f>
        <x:v>0.476708984375</x:v>
      </x:c>
      <x:c r="Q133" s="26" t="n">
        <x:f>J133*E133+K133*G133+L133*F133+M133*H133</x:f>
        <x:v>0.516748046875</x:v>
      </x:c>
      <x:c r="R133" s="26" t="n">
        <x:f>(P133+Q133)/2</x:f>
        <x:v>0.496728515625</x:v>
      </x:c>
      <x:c r="S133" s="26" t="n">
        <x:f>P133-Q133</x:f>
        <x:v>-0.0400390625</x:v>
      </x:c>
      <x:c r="T133" s="26" t="n">
        <x:f>(P133-N133)^2+(Q133-O133)^2</x:f>
        <x:v>0.0008229684829711918</x:v>
      </x:c>
    </x:row>
    <x:row r="134">
      <x:c r="A134" t="str">
        <x:v>B</x:v>
      </x:c>
      <x:c r="B134" t="n">
        <x:v>31</x:v>
      </x:c>
      <x:c r="C134" t="str">
        <x:v>Case 3a(i) (PD), pure</x:v>
      </x:c>
      <x:c r="D134" t="str">
        <x:v>pure</x:v>
      </x:c>
      <x:c r="E134" s="26" t="n">
        <x:v>0.75</x:v>
      </x:c>
      <x:c r="F134" s="26" t="n">
        <x:v>0</x:v>
      </x:c>
      <x:c r="G134" s="26" t="n">
        <x:v>1</x:v>
      </x:c>
      <x:c r="H134" s="26" t="n">
        <x:v>0.2</x:v>
      </x:c>
      <x:c r="I134" t="str">
        <x:v>pi/4</x:v>
      </x:c>
      <x:c r="J134" s="26" t="n">
        <x:f>Raw_pure!G34</x:f>
        <x:v>0.00390625</x:v>
      </x:c>
      <x:c r="K134" s="26" t="n">
        <x:f>Raw_pure!H34</x:f>
        <x:v>0.4912109375</x:v>
      </x:c>
      <x:c r="L134" s="26" t="n">
        <x:f>Raw_pure!I34</x:f>
        <x:v>0.4990234375</x:v>
      </x:c>
      <x:c r="M134" s="26" t="n">
        <x:f>Raw_pure!J34</x:f>
        <x:v>0.005859375</x:v>
      </x:c>
      <x:c r="N134" s="26" t="n">
        <x:v>0.5</x:v>
      </x:c>
      <x:c r="O134" s="26" t="n">
        <x:v>0.5</x:v>
      </x:c>
      <x:c r="P134" s="26" t="n">
        <x:f>J134*E134+K134*F134+L134*G134+M134*H134</x:f>
        <x:v>0.503125</x:v>
      </x:c>
      <x:c r="Q134" s="26" t="n">
        <x:f>J134*E134+K134*G134+L134*F134+M134*H134</x:f>
        <x:v>0.4953125</x:v>
      </x:c>
      <x:c r="R134" s="26" t="n">
        <x:f>(P134+Q134)/2</x:f>
        <x:v>0.49921875000000004</x:v>
      </x:c>
      <x:c r="S134" s="26" t="n">
        <x:f>P134-Q134</x:f>
        <x:v>0.007812500000000056</x:v>
      </x:c>
      <x:c r="T134" s="26" t="n">
        <x:f>(P134-N134)^2+(Q134-O134)^2</x:f>
        <x:v>0.00003173828125000038</x:v>
      </x:c>
    </x:row>
    <x:row r="135">
      <x:c r="A135" t="str">
        <x:v>B</x:v>
      </x:c>
      <x:c r="B135" t="n">
        <x:v>32</x:v>
      </x:c>
      <x:c r="C135" t="str">
        <x:v>Case 3a(i) (PD), pure</x:v>
      </x:c>
      <x:c r="D135" t="str">
        <x:v>pure</x:v>
      </x:c>
      <x:c r="E135" s="26" t="n">
        <x:v>0.75</x:v>
      </x:c>
      <x:c r="F135" s="26" t="n">
        <x:v>0</x:v>
      </x:c>
      <x:c r="G135" s="26" t="n">
        <x:v>1</x:v>
      </x:c>
      <x:c r="H135" s="26" t="n">
        <x:v>0.2</x:v>
      </x:c>
      <x:c r="I135" t="str">
        <x:v>pi/4</x:v>
      </x:c>
      <x:c r="J135" s="26" t="n">
        <x:f>Raw_pure!G35</x:f>
        <x:v>0.0087890625</x:v>
      </x:c>
      <x:c r="K135" s="26" t="n">
        <x:f>Raw_pure!H35</x:f>
        <x:v>0.46875</x:v>
      </x:c>
      <x:c r="L135" s="26" t="n">
        <x:f>Raw_pure!I35</x:f>
        <x:v>0.515625</x:v>
      </x:c>
      <x:c r="M135" s="26" t="n">
        <x:f>Raw_pure!J35</x:f>
        <x:v>0.0068359375</x:v>
      </x:c>
      <x:c r="N135" s="26" t="n">
        <x:v>0.5</x:v>
      </x:c>
      <x:c r="O135" s="26" t="n">
        <x:v>0.5</x:v>
      </x:c>
      <x:c r="P135" s="26" t="n">
        <x:f>J135*E135+K135*F135+L135*G135+M135*H135</x:f>
        <x:v>0.523583984375</x:v>
      </x:c>
      <x:c r="Q135" s="26" t="n">
        <x:f>J135*E135+K135*G135+L135*F135+M135*H135</x:f>
        <x:v>0.476708984375</x:v>
      </x:c>
      <x:c r="R135" s="26" t="n">
        <x:f>(P135+Q135)/2</x:f>
        <x:v>0.500146484375</x:v>
      </x:c>
      <x:c r="S135" s="26" t="n">
        <x:f>P135-Q135</x:f>
        <x:v>0.046875</x:v>
      </x:c>
      <x:c r="T135" s="26" t="n">
        <x:f>(P135-N135)^2+(Q135-O135)^2</x:f>
        <x:v>0.0010986757278442384</x:v>
      </x:c>
    </x:row>
    <x:row r="136">
      <x:c r="A136" t="str">
        <x:v>B</x:v>
      </x:c>
      <x:c r="B136" t="n">
        <x:v>33</x:v>
      </x:c>
      <x:c r="C136" t="str">
        <x:v>Case 3a(i) (PD), pure</x:v>
      </x:c>
      <x:c r="D136" t="str">
        <x:v>pure</x:v>
      </x:c>
      <x:c r="E136" s="26" t="n">
        <x:v>0.75</x:v>
      </x:c>
      <x:c r="F136" s="26" t="n">
        <x:v>0</x:v>
      </x:c>
      <x:c r="G136" s="26" t="n">
        <x:v>1</x:v>
      </x:c>
      <x:c r="H136" s="26" t="n">
        <x:v>0.2</x:v>
      </x:c>
      <x:c r="I136" t="str">
        <x:v>pi/4</x:v>
      </x:c>
      <x:c r="J136" s="26" t="n">
        <x:f>Raw_pure!G36</x:f>
        <x:v>0.0087890625</x:v>
      </x:c>
      <x:c r="K136" s="26" t="n">
        <x:f>Raw_pure!H36</x:f>
        <x:v>0.44921875</x:v>
      </x:c>
      <x:c r="L136" s="26" t="n">
        <x:f>Raw_pure!I36</x:f>
        <x:v>0.533203125</x:v>
      </x:c>
      <x:c r="M136" s="26" t="n">
        <x:f>Raw_pure!J36</x:f>
        <x:v>0.0087890625</x:v>
      </x:c>
      <x:c r="N136" s="26" t="n">
        <x:v>0.5</x:v>
      </x:c>
      <x:c r="O136" s="26" t="n">
        <x:v>0.5</x:v>
      </x:c>
      <x:c r="P136" s="26" t="n">
        <x:f>J136*E136+K136*F136+L136*G136+M136*H136</x:f>
        <x:v>0.541552734375</x:v>
      </x:c>
      <x:c r="Q136" s="26" t="n">
        <x:f>J136*E136+K136*G136+L136*F136+M136*H136</x:f>
        <x:v>0.457568359375</x:v>
      </x:c>
      <x:c r="R136" s="26" t="n">
        <x:f>(P136+Q136)/2</x:f>
        <x:v>0.49956054687499996</x:v>
      </x:c>
      <x:c r="S136" s="26" t="n">
        <x:f>P136-Q136</x:f>
        <x:v>0.08398437499999994</x:v>
      </x:c>
      <x:c r="T136" s="26" t="n">
        <x:f>(P136-N136)^2+(Q136-O136)^2</x:f>
        <x:v>0.0035270738601684525</x:v>
      </x:c>
    </x:row>
    <x:row r="137">
      <x:c r="A137" t="str">
        <x:v>B</x:v>
      </x:c>
      <x:c r="B137" t="n">
        <x:v>34</x:v>
      </x:c>
      <x:c r="C137" t="str">
        <x:v>Case 3a(i) (PD), pure</x:v>
      </x:c>
      <x:c r="D137" t="str">
        <x:v>pure</x:v>
      </x:c>
      <x:c r="E137" s="26" t="n">
        <x:v>0.75</x:v>
      </x:c>
      <x:c r="F137" s="26" t="n">
        <x:v>0</x:v>
      </x:c>
      <x:c r="G137" s="26" t="n">
        <x:v>1</x:v>
      </x:c>
      <x:c r="H137" s="26" t="n">
        <x:v>0.2</x:v>
      </x:c>
      <x:c r="I137" t="str">
        <x:v>pi/4</x:v>
      </x:c>
      <x:c r="J137" s="26" t="n">
        <x:f>Raw_pure!G37</x:f>
        <x:v>0.0078125</x:v>
      </x:c>
      <x:c r="K137" s="26" t="n">
        <x:f>Raw_pure!H37</x:f>
        <x:v>0.494140625</x:v>
      </x:c>
      <x:c r="L137" s="26" t="n">
        <x:f>Raw_pure!I37</x:f>
        <x:v>0.4912109375</x:v>
      </x:c>
      <x:c r="M137" s="26" t="n">
        <x:f>Raw_pure!J37</x:f>
        <x:v>0.0068359375</x:v>
      </x:c>
      <x:c r="N137" s="26" t="n">
        <x:v>0.5</x:v>
      </x:c>
      <x:c r="O137" s="26" t="n">
        <x:v>0.5</x:v>
      </x:c>
      <x:c r="P137" s="26" t="n">
        <x:f>J137*E137+K137*F137+L137*G137+M137*H137</x:f>
        <x:v>0.4984375</x:v>
      </x:c>
      <x:c r="Q137" s="26" t="n">
        <x:f>J137*E137+K137*G137+L137*F137+M137*H137</x:f>
        <x:v>0.5013671875</x:v>
      </x:c>
      <x:c r="R137" s="26" t="n">
        <x:f>(P137+Q137)/2</x:f>
        <x:v>0.49990234375</x:v>
      </x:c>
      <x:c r="S137" s="26" t="n">
        <x:f>P137-Q137</x:f>
        <x:v>-0.0029296875</x:v>
      </x:c>
      <x:c r="T137" s="26" t="n">
        <x:f>(P137-N137)^2+(Q137-O137)^2</x:f>
        <x:v>0.000004310607910156259</x:v>
      </x:c>
    </x:row>
    <x:row r="138">
      <x:c r="A138" t="str">
        <x:v>B</x:v>
      </x:c>
      <x:c r="B138" t="n">
        <x:v>35</x:v>
      </x:c>
      <x:c r="C138" t="str">
        <x:v>Case 3a(i) (PD), pure</x:v>
      </x:c>
      <x:c r="D138" t="str">
        <x:v>pure</x:v>
      </x:c>
      <x:c r="E138" s="26" t="n">
        <x:v>0.75</x:v>
      </x:c>
      <x:c r="F138" s="26" t="n">
        <x:v>0</x:v>
      </x:c>
      <x:c r="G138" s="26" t="n">
        <x:v>1</x:v>
      </x:c>
      <x:c r="H138" s="26" t="n">
        <x:v>0.2</x:v>
      </x:c>
      <x:c r="I138" t="str">
        <x:v>pi/4</x:v>
      </x:c>
      <x:c r="J138" s="26" t="n">
        <x:f>Raw_pure!G38</x:f>
        <x:v>0.005859375</x:v>
      </x:c>
      <x:c r="K138" s="26" t="n">
        <x:f>Raw_pure!H38</x:f>
        <x:v>0.498046875</x:v>
      </x:c>
      <x:c r="L138" s="26" t="n">
        <x:f>Raw_pure!I38</x:f>
        <x:v>0.4892578125</x:v>
      </x:c>
      <x:c r="M138" s="26" t="n">
        <x:f>Raw_pure!J38</x:f>
        <x:v>0.0068359375</x:v>
      </x:c>
      <x:c r="N138" s="26" t="n">
        <x:v>0.5</x:v>
      </x:c>
      <x:c r="O138" s="26" t="n">
        <x:v>0.5</x:v>
      </x:c>
      <x:c r="P138" s="26" t="n">
        <x:f>J138*E138+K138*F138+L138*G138+M138*H138</x:f>
        <x:v>0.49501953125</x:v>
      </x:c>
      <x:c r="Q138" s="26" t="n">
        <x:f>J138*E138+K138*G138+L138*F138+M138*H138</x:f>
        <x:v>0.50380859375</x:v>
      </x:c>
      <x:c r="R138" s="26" t="n">
        <x:f>(P138+Q138)/2</x:f>
        <x:v>0.4994140625</x:v>
      </x:c>
      <x:c r="S138" s="26" t="n">
        <x:f>P138-Q138</x:f>
        <x:v>-0.0087890625</x:v>
      </x:c>
      <x:c r="T138" s="26" t="n">
        <x:f>(P138-N138)^2+(Q138-O138)^2</x:f>
        <x:v>0.00003931045532226568</x:v>
      </x:c>
    </x:row>
    <x:row r="139">
      <x:c r="A139" t="str">
        <x:v>B</x:v>
      </x:c>
      <x:c r="B139" t="n">
        <x:v>36</x:v>
      </x:c>
      <x:c r="C139" t="str">
        <x:v>Case 3a(i) (PD), pure</x:v>
      </x:c>
      <x:c r="D139" t="str">
        <x:v>pure</x:v>
      </x:c>
      <x:c r="E139" s="26" t="n">
        <x:v>0.75</x:v>
      </x:c>
      <x:c r="F139" s="26" t="n">
        <x:v>0</x:v>
      </x:c>
      <x:c r="G139" s="26" t="n">
        <x:v>1</x:v>
      </x:c>
      <x:c r="H139" s="26" t="n">
        <x:v>0.2</x:v>
      </x:c>
      <x:c r="I139" t="str">
        <x:v>pi/4</x:v>
      </x:c>
      <x:c r="J139" s="26" t="n">
        <x:f>Raw_pure!G39</x:f>
        <x:v>0.0087890625</x:v>
      </x:c>
      <x:c r="K139" s="26" t="n">
        <x:f>Raw_pure!H39</x:f>
        <x:v>0.5068359375</x:v>
      </x:c>
      <x:c r="L139" s="26" t="n">
        <x:f>Raw_pure!I39</x:f>
        <x:v>0.4765625</x:v>
      </x:c>
      <x:c r="M139" s="26" t="n">
        <x:f>Raw_pure!J39</x:f>
        <x:v>0.0078125</x:v>
      </x:c>
      <x:c r="N139" s="26" t="n">
        <x:v>0.5</x:v>
      </x:c>
      <x:c r="O139" s="26" t="n">
        <x:v>0.5</x:v>
      </x:c>
      <x:c r="P139" s="26" t="n">
        <x:f>J139*E139+K139*F139+L139*G139+M139*H139</x:f>
        <x:v>0.484716796875</x:v>
      </x:c>
      <x:c r="Q139" s="26" t="n">
        <x:f>J139*E139+K139*G139+L139*F139+M139*H139</x:f>
        <x:v>0.514990234375</x:v>
      </x:c>
      <x:c r="R139" s="26" t="n">
        <x:f>(P139+Q139)/2</x:f>
        <x:v>0.499853515625</x:v>
      </x:c>
      <x:c r="S139" s="26" t="n">
        <x:f>P139-Q139</x:f>
        <x:v>-0.0302734375</x:v>
      </x:c>
      <x:c r="T139" s="26" t="n">
        <x:f>(P139-N139)^2+(Q139-O139)^2</x:f>
        <x:v>0.00045828342437744137</x:v>
      </x:c>
    </x:row>
    <x:row r="140">
      <x:c r="A140" t="str">
        <x:v>B</x:v>
      </x:c>
      <x:c r="B140" t="n">
        <x:v>37</x:v>
      </x:c>
      <x:c r="C140" t="str">
        <x:v>Case 3a(i) (PD), pure</x:v>
      </x:c>
      <x:c r="D140" t="str">
        <x:v>pure</x:v>
      </x:c>
      <x:c r="E140" s="26" t="n">
        <x:v>0.75</x:v>
      </x:c>
      <x:c r="F140" s="26" t="n">
        <x:v>0</x:v>
      </x:c>
      <x:c r="G140" s="26" t="n">
        <x:v>1</x:v>
      </x:c>
      <x:c r="H140" s="26" t="n">
        <x:v>0.2</x:v>
      </x:c>
      <x:c r="I140" t="str">
        <x:v>pi/4</x:v>
      </x:c>
      <x:c r="J140" s="26" t="n">
        <x:f>Raw_pure!G40</x:f>
        <x:v>0.0107421875</x:v>
      </x:c>
      <x:c r="K140" s="26" t="n">
        <x:f>Raw_pure!H40</x:f>
        <x:v>0.4970703125</x:v>
      </x:c>
      <x:c r="L140" s="26" t="n">
        <x:f>Raw_pure!I40</x:f>
        <x:v>0.48046875</x:v>
      </x:c>
      <x:c r="M140" s="26" t="n">
        <x:f>Raw_pure!J40</x:f>
        <x:v>0.01171875</x:v>
      </x:c>
      <x:c r="N140" s="26" t="n">
        <x:v>0.5</x:v>
      </x:c>
      <x:c r="O140" s="26" t="n">
        <x:v>0.5</x:v>
      </x:c>
      <x:c r="P140" s="26" t="n">
        <x:f>J140*E140+K140*F140+L140*G140+M140*H140</x:f>
        <x:v>0.490869140625</x:v>
      </x:c>
      <x:c r="Q140" s="26" t="n">
        <x:f>J140*E140+K140*G140+L140*F140+M140*H140</x:f>
        <x:v>0.507470703125</x:v>
      </x:c>
      <x:c r="R140" s="26" t="n">
        <x:f>(P140+Q140)/2</x:f>
        <x:v>0.499169921875</x:v>
      </x:c>
      <x:c r="S140" s="26" t="n">
        <x:f>P140-Q140</x:f>
        <x:v>-0.0166015625</x:v>
      </x:c>
      <x:c r="T140" s="26" t="n">
        <x:f>(P140-N140)^2+(Q140-O140)^2</x:f>
        <x:v>0.00013918399810791023</x:v>
      </x:c>
    </x:row>
    <x:row r="141">
      <x:c r="A141" t="str">
        <x:v>B</x:v>
      </x:c>
      <x:c r="B141" t="n">
        <x:v>38</x:v>
      </x:c>
      <x:c r="C141" t="str">
        <x:v>Case 3a(i) (PD), pure</x:v>
      </x:c>
      <x:c r="D141" t="str">
        <x:v>pure</x:v>
      </x:c>
      <x:c r="E141" s="26" t="n">
        <x:v>0.75</x:v>
      </x:c>
      <x:c r="F141" s="26" t="n">
        <x:v>0</x:v>
      </x:c>
      <x:c r="G141" s="26" t="n">
        <x:v>1</x:v>
      </x:c>
      <x:c r="H141" s="26" t="n">
        <x:v>0.2</x:v>
      </x:c>
      <x:c r="I141" t="str">
        <x:v>pi/4</x:v>
      </x:c>
      <x:c r="J141" s="26" t="n">
        <x:f>Raw_pure!G41</x:f>
        <x:v>0.001953125</x:v>
      </x:c>
      <x:c r="K141" s="26" t="n">
        <x:f>Raw_pure!H41</x:f>
        <x:v>0.48828125</x:v>
      </x:c>
      <x:c r="L141" s="26" t="n">
        <x:f>Raw_pure!I41</x:f>
        <x:v>0.49609375</x:v>
      </x:c>
      <x:c r="M141" s="26" t="n">
        <x:f>Raw_pure!J41</x:f>
        <x:v>0.013671875</x:v>
      </x:c>
      <x:c r="N141" s="26" t="n">
        <x:v>0.5</x:v>
      </x:c>
      <x:c r="O141" s="26" t="n">
        <x:v>0.5</x:v>
      </x:c>
      <x:c r="P141" s="26" t="n">
        <x:f>J141*E141+K141*F141+L141*G141+M141*H141</x:f>
        <x:v>0.50029296875</x:v>
      </x:c>
      <x:c r="Q141" s="26" t="n">
        <x:f>J141*E141+K141*G141+L141*F141+M141*H141</x:f>
        <x:v>0.49248046875</x:v>
      </x:c>
      <x:c r="R141" s="26" t="n">
        <x:f>(P141+Q141)/2</x:f>
        <x:v>0.49638671874999996</x:v>
      </x:c>
      <x:c r="S141" s="26" t="n">
        <x:f>P141-Q141</x:f>
        <x:v>0.0078124999999999445</x:v>
      </x:c>
      <x:c r="T141" s="26" t="n">
        <x:f>(P141-N141)^2+(Q141-O141)^2</x:f>
        <x:v>0.00005662918090820293</x:v>
      </x:c>
    </x:row>
    <x:row r="142">
      <x:c r="A142" t="str">
        <x:v>B</x:v>
      </x:c>
      <x:c r="B142" t="n">
        <x:v>39</x:v>
      </x:c>
      <x:c r="C142" t="str">
        <x:v>Case 3a(i) (PD), pure</x:v>
      </x:c>
      <x:c r="D142" t="str">
        <x:v>pure</x:v>
      </x:c>
      <x:c r="E142" s="26" t="n">
        <x:v>0.75</x:v>
      </x:c>
      <x:c r="F142" s="26" t="n">
        <x:v>0</x:v>
      </x:c>
      <x:c r="G142" s="26" t="n">
        <x:v>1</x:v>
      </x:c>
      <x:c r="H142" s="26" t="n">
        <x:v>0.2</x:v>
      </x:c>
      <x:c r="I142" t="str">
        <x:v>pi/4</x:v>
      </x:c>
      <x:c r="J142" s="26" t="n">
        <x:f>Raw_pure!G42</x:f>
        <x:v>0.01171875</x:v>
      </x:c>
      <x:c r="K142" s="26" t="n">
        <x:f>Raw_pure!H42</x:f>
        <x:v>0.490234375</x:v>
      </x:c>
      <x:c r="L142" s="26" t="n">
        <x:f>Raw_pure!I42</x:f>
        <x:v>0.48828125</x:v>
      </x:c>
      <x:c r="M142" s="26" t="n">
        <x:f>Raw_pure!J42</x:f>
        <x:v>0.009765625</x:v>
      </x:c>
      <x:c r="N142" s="26" t="n">
        <x:v>0.5</x:v>
      </x:c>
      <x:c r="O142" s="26" t="n">
        <x:v>0.5</x:v>
      </x:c>
      <x:c r="P142" s="26" t="n">
        <x:f>J142*E142+K142*F142+L142*G142+M142*H142</x:f>
        <x:v>0.4990234375</x:v>
      </x:c>
      <x:c r="Q142" s="26" t="n">
        <x:f>J142*E142+K142*G142+L142*F142+M142*H142</x:f>
        <x:v>0.5009765625</x:v>
      </x:c>
      <x:c r="R142" s="26" t="n">
        <x:f>(P142+Q142)/2</x:f>
        <x:v>0.5</x:v>
      </x:c>
      <x:c r="S142" s="26" t="n">
        <x:f>P142-Q142</x:f>
        <x:v>-0.001953125</x:v>
      </x:c>
      <x:c r="T142" s="26" t="n">
        <x:f>(P142-N142)^2+(Q142-O142)^2</x:f>
        <x:v>0.0000019073486328125</x:v>
      </x:c>
    </x:row>
    <x:row r="143">
      <x:c r="A143" t="str">
        <x:v>B</x:v>
      </x:c>
      <x:c r="B143" t="n">
        <x:v>40</x:v>
      </x:c>
      <x:c r="C143" t="str">
        <x:v>Case 3a(i) (PD), pure</x:v>
      </x:c>
      <x:c r="D143" t="str">
        <x:v>pure</x:v>
      </x:c>
      <x:c r="E143" s="26" t="n">
        <x:v>0.75</x:v>
      </x:c>
      <x:c r="F143" s="26" t="n">
        <x:v>0</x:v>
      </x:c>
      <x:c r="G143" s="26" t="n">
        <x:v>1</x:v>
      </x:c>
      <x:c r="H143" s="26" t="n">
        <x:v>0.2</x:v>
      </x:c>
      <x:c r="I143" t="str">
        <x:v>pi/4</x:v>
      </x:c>
      <x:c r="J143" s="26" t="n">
        <x:f>Raw_pure!G43</x:f>
        <x:v>0.0087890625</x:v>
      </x:c>
      <x:c r="K143" s="26" t="n">
        <x:f>Raw_pure!H43</x:f>
        <x:v>0.4873046875</x:v>
      </x:c>
      <x:c r="L143" s="26" t="n">
        <x:f>Raw_pure!I43</x:f>
        <x:v>0.4970703125</x:v>
      </x:c>
      <x:c r="M143" s="26" t="n">
        <x:f>Raw_pure!J43</x:f>
        <x:v>0.0068359375</x:v>
      </x:c>
      <x:c r="N143" s="26" t="n">
        <x:v>0.5</x:v>
      </x:c>
      <x:c r="O143" s="26" t="n">
        <x:v>0.5</x:v>
      </x:c>
      <x:c r="P143" s="26" t="n">
        <x:f>J143*E143+K143*F143+L143*G143+M143*H143</x:f>
        <x:v>0.505029296875</x:v>
      </x:c>
      <x:c r="Q143" s="26" t="n">
        <x:f>J143*E143+K143*G143+L143*F143+M143*H143</x:f>
        <x:v>0.495263671875</x:v>
      </x:c>
      <x:c r="R143" s="26" t="n">
        <x:f>(P143+Q143)/2</x:f>
        <x:v>0.500146484375</x:v>
      </x:c>
      <x:c r="S143" s="26" t="n">
        <x:f>P143-Q143</x:f>
        <x:v>0.009765625</x:v>
      </x:c>
      <x:c r="T143" s="26" t="n">
        <x:f>(P143-N143)^2+(Q143-O143)^2</x:f>
        <x:v>0.00004772663116455077</x:v>
      </x:c>
    </x:row>
    <x:row r="144">
      <x:c r="A144" t="str">
        <x:v>B</x:v>
      </x:c>
      <x:c r="B144" t="n">
        <x:v>41</x:v>
      </x:c>
      <x:c r="C144" t="str">
        <x:v>Case 3a(i) (PD), pure</x:v>
      </x:c>
      <x:c r="D144" t="str">
        <x:v>pure</x:v>
      </x:c>
      <x:c r="E144" s="26" t="n">
        <x:v>0.75</x:v>
      </x:c>
      <x:c r="F144" s="26" t="n">
        <x:v>0</x:v>
      </x:c>
      <x:c r="G144" s="26" t="n">
        <x:v>1</x:v>
      </x:c>
      <x:c r="H144" s="26" t="n">
        <x:v>0.2</x:v>
      </x:c>
      <x:c r="I144" t="str">
        <x:v>pi/4</x:v>
      </x:c>
      <x:c r="J144" s="26" t="n">
        <x:f>Raw_pure!G44</x:f>
        <x:v>0.0087890625</x:v>
      </x:c>
      <x:c r="K144" s="26" t="n">
        <x:f>Raw_pure!H44</x:f>
        <x:v>0.48046875</x:v>
      </x:c>
      <x:c r="L144" s="26" t="n">
        <x:f>Raw_pure!I44</x:f>
        <x:v>0.5048828125</x:v>
      </x:c>
      <x:c r="M144" s="26" t="n">
        <x:f>Raw_pure!J44</x:f>
        <x:v>0.005859375</x:v>
      </x:c>
      <x:c r="N144" s="26" t="n">
        <x:v>0.5</x:v>
      </x:c>
      <x:c r="O144" s="26" t="n">
        <x:v>0.5</x:v>
      </x:c>
      <x:c r="P144" s="26" t="n">
        <x:f>J144*E144+K144*F144+L144*G144+M144*H144</x:f>
        <x:v>0.512646484375</x:v>
      </x:c>
      <x:c r="Q144" s="26" t="n">
        <x:f>J144*E144+K144*G144+L144*F144+M144*H144</x:f>
        <x:v>0.488232421875</x:v>
      </x:c>
      <x:c r="R144" s="26" t="n">
        <x:f>(P144+Q144)/2</x:f>
        <x:v>0.500439453125</x:v>
      </x:c>
      <x:c r="S144" s="26" t="n">
        <x:f>P144-Q144</x:f>
        <x:v>0.024414062500000056</x:v>
      </x:c>
      <x:c r="T144" s="26" t="n">
        <x:f>(P144-N144)^2+(Q144-O144)^2</x:f>
        <x:v>0.00029840946197509904</x:v>
      </x:c>
    </x:row>
    <x:row r="145">
      <x:c r="A145" t="str">
        <x:v>B</x:v>
      </x:c>
      <x:c r="B145" t="n">
        <x:v>42</x:v>
      </x:c>
      <x:c r="C145" t="str">
        <x:v>Case 3a(i) (PD), pure</x:v>
      </x:c>
      <x:c r="D145" t="str">
        <x:v>pure</x:v>
      </x:c>
      <x:c r="E145" s="26" t="n">
        <x:v>0.75</x:v>
      </x:c>
      <x:c r="F145" s="26" t="n">
        <x:v>0</x:v>
      </x:c>
      <x:c r="G145" s="26" t="n">
        <x:v>1</x:v>
      </x:c>
      <x:c r="H145" s="26" t="n">
        <x:v>0.2</x:v>
      </x:c>
      <x:c r="I145" t="str">
        <x:v>pi/4</x:v>
      </x:c>
      <x:c r="J145" s="26" t="n">
        <x:f>Raw_pure!G45</x:f>
        <x:v>0.005859375</x:v>
      </x:c>
      <x:c r="K145" s="26" t="n">
        <x:f>Raw_pure!H45</x:f>
        <x:v>0.5263671875</x:v>
      </x:c>
      <x:c r="L145" s="26" t="n">
        <x:f>Raw_pure!I45</x:f>
        <x:v>0.458984375</x:v>
      </x:c>
      <x:c r="M145" s="26" t="n">
        <x:f>Raw_pure!J45</x:f>
        <x:v>0.0087890625</x:v>
      </x:c>
      <x:c r="N145" s="26" t="n">
        <x:v>0.5</x:v>
      </x:c>
      <x:c r="O145" s="26" t="n">
        <x:v>0.5</x:v>
      </x:c>
      <x:c r="P145" s="26" t="n">
        <x:f>J145*E145+K145*F145+L145*G145+M145*H145</x:f>
        <x:v>0.46513671875</x:v>
      </x:c>
      <x:c r="Q145" s="26" t="n">
        <x:f>J145*E145+K145*G145+L145*F145+M145*H145</x:f>
        <x:v>0.53251953125</x:v>
      </x:c>
      <x:c r="R145" s="26" t="n">
        <x:f>(P145+Q145)/2</x:f>
        <x:v>0.49882812499999996</x:v>
      </x:c>
      <x:c r="S145" s="26" t="n">
        <x:f>P145-Q145</x:f>
        <x:v>-0.06738281249999994</x:v>
      </x:c>
      <x:c r="T145" s="26" t="n">
        <x:f>(P145-N145)^2+(Q145-O145)^2</x:f>
        <x:v>0.0022729682922363243</x:v>
      </x:c>
    </x:row>
    <x:row r="146">
      <x:c r="A146" t="str">
        <x:v>B</x:v>
      </x:c>
      <x:c r="B146" t="n">
        <x:v>43</x:v>
      </x:c>
      <x:c r="C146" t="str">
        <x:v>Case 3a(i) (PD), pure</x:v>
      </x:c>
      <x:c r="D146" t="str">
        <x:v>pure</x:v>
      </x:c>
      <x:c r="E146" s="26" t="n">
        <x:v>0.75</x:v>
      </x:c>
      <x:c r="F146" s="26" t="n">
        <x:v>0</x:v>
      </x:c>
      <x:c r="G146" s="26" t="n">
        <x:v>1</x:v>
      </x:c>
      <x:c r="H146" s="26" t="n">
        <x:v>0.2</x:v>
      </x:c>
      <x:c r="I146" t="str">
        <x:v>pi/4</x:v>
      </x:c>
      <x:c r="J146" s="26" t="n">
        <x:f>Raw_pure!G46</x:f>
        <x:v>0.0048828125</x:v>
      </x:c>
      <x:c r="K146" s="26" t="n">
        <x:f>Raw_pure!H46</x:f>
        <x:v>0.4951171875</x:v>
      </x:c>
      <x:c r="L146" s="26" t="n">
        <x:f>Raw_pure!I46</x:f>
        <x:v>0.4912109375</x:v>
      </x:c>
      <x:c r="M146" s="26" t="n">
        <x:f>Raw_pure!J46</x:f>
        <x:v>0.0087890625</x:v>
      </x:c>
      <x:c r="N146" s="26" t="n">
        <x:v>0.5</x:v>
      </x:c>
      <x:c r="O146" s="26" t="n">
        <x:v>0.5</x:v>
      </x:c>
      <x:c r="P146" s="26" t="n">
        <x:f>J146*E146+K146*F146+L146*G146+M146*H146</x:f>
        <x:v>0.496630859375</x:v>
      </x:c>
      <x:c r="Q146" s="26" t="n">
        <x:f>J146*E146+K146*G146+L146*F146+M146*H146</x:f>
        <x:v>0.500537109375</x:v>
      </x:c>
      <x:c r="R146" s="26" t="n">
        <x:f>(P146+Q146)/2</x:f>
        <x:v>0.49858398437499996</x:v>
      </x:c>
      <x:c r="S146" s="26" t="n">
        <x:f>P146-Q146</x:f>
        <x:v>-0.0039062499999999445</x:v>
      </x:c>
      <x:c r="T146" s="26" t="n">
        <x:f>(P146-N146)^2+(Q146-O146)^2</x:f>
        <x:v>0.00001163959503173816</x:v>
      </x:c>
    </x:row>
    <x:row r="147">
      <x:c r="A147" t="str">
        <x:v>B</x:v>
      </x:c>
      <x:c r="B147" t="n">
        <x:v>44</x:v>
      </x:c>
      <x:c r="C147" t="str">
        <x:v>Case 3a(i) (PD), pure</x:v>
      </x:c>
      <x:c r="D147" t="str">
        <x:v>pure</x:v>
      </x:c>
      <x:c r="E147" s="26" t="n">
        <x:v>0.75</x:v>
      </x:c>
      <x:c r="F147" s="26" t="n">
        <x:v>0</x:v>
      </x:c>
      <x:c r="G147" s="26" t="n">
        <x:v>1</x:v>
      </x:c>
      <x:c r="H147" s="26" t="n">
        <x:v>0.2</x:v>
      </x:c>
      <x:c r="I147" t="str">
        <x:v>pi/4</x:v>
      </x:c>
      <x:c r="J147" s="26" t="n">
        <x:f>Raw_pure!G47</x:f>
        <x:v>0.0107421875</x:v>
      </x:c>
      <x:c r="K147" s="26" t="n">
        <x:f>Raw_pure!H47</x:f>
        <x:v>0.486328125</x:v>
      </x:c>
      <x:c r="L147" s="26" t="n">
        <x:f>Raw_pure!I47</x:f>
        <x:v>0.4931640625</x:v>
      </x:c>
      <x:c r="M147" s="26" t="n">
        <x:f>Raw_pure!J47</x:f>
        <x:v>0.009765625</x:v>
      </x:c>
      <x:c r="N147" s="26" t="n">
        <x:v>0.5</x:v>
      </x:c>
      <x:c r="O147" s="26" t="n">
        <x:v>0.5</x:v>
      </x:c>
      <x:c r="P147" s="26" t="n">
        <x:f>J147*E147+K147*F147+L147*G147+M147*H147</x:f>
        <x:v>0.503173828125</x:v>
      </x:c>
      <x:c r="Q147" s="26" t="n">
        <x:f>J147*E147+K147*G147+L147*F147+M147*H147</x:f>
        <x:v>0.496337890625</x:v>
      </x:c>
      <x:c r="R147" s="26" t="n">
        <x:f>(P147+Q147)/2</x:f>
        <x:v>0.499755859375</x:v>
      </x:c>
      <x:c r="S147" s="26" t="n">
        <x:f>P147-Q147</x:f>
        <x:v>0.0068359375</x:v>
      </x:c>
      <x:c r="T147" s="26" t="n">
        <x:f>(P147-N147)^2+(Q147-O147)^2</x:f>
        <x:v>0.000023484230041503906</x:v>
      </x:c>
    </x:row>
    <x:row r="148">
      <x:c r="A148" t="str">
        <x:v>B</x:v>
      </x:c>
      <x:c r="B148" t="n">
        <x:v>45</x:v>
      </x:c>
      <x:c r="C148" t="str">
        <x:v>Case 3a(i) (PD), pure</x:v>
      </x:c>
      <x:c r="D148" t="str">
        <x:v>pure</x:v>
      </x:c>
      <x:c r="E148" s="26" t="n">
        <x:v>0.75</x:v>
      </x:c>
      <x:c r="F148" s="26" t="n">
        <x:v>0</x:v>
      </x:c>
      <x:c r="G148" s="26" t="n">
        <x:v>1</x:v>
      </x:c>
      <x:c r="H148" s="26" t="n">
        <x:v>0.2</x:v>
      </x:c>
      <x:c r="I148" t="str">
        <x:v>pi/4</x:v>
      </x:c>
      <x:c r="J148" s="26" t="n">
        <x:f>Raw_pure!G48</x:f>
        <x:v>0.0087890625</x:v>
      </x:c>
      <x:c r="K148" s="26" t="n">
        <x:f>Raw_pure!H48</x:f>
        <x:v>0.4931640625</x:v>
      </x:c>
      <x:c r="L148" s="26" t="n">
        <x:f>Raw_pure!I48</x:f>
        <x:v>0.4912109375</x:v>
      </x:c>
      <x:c r="M148" s="26" t="n">
        <x:f>Raw_pure!J48</x:f>
        <x:v>0.0068359375</x:v>
      </x:c>
      <x:c r="N148" s="26" t="n">
        <x:v>0.5</x:v>
      </x:c>
      <x:c r="O148" s="26" t="n">
        <x:v>0.5</x:v>
      </x:c>
      <x:c r="P148" s="26" t="n">
        <x:f>J148*E148+K148*F148+L148*G148+M148*H148</x:f>
        <x:v>0.499169921875</x:v>
      </x:c>
      <x:c r="Q148" s="26" t="n">
        <x:f>J148*E148+K148*G148+L148*F148+M148*H148</x:f>
        <x:v>0.501123046875</x:v>
      </x:c>
      <x:c r="R148" s="26" t="n">
        <x:f>(P148+Q148)/2</x:f>
        <x:v>0.500146484375</x:v>
      </x:c>
      <x:c r="S148" s="26" t="n">
        <x:f>P148-Q148</x:f>
        <x:v>-0.001953125</x:v>
      </x:c>
      <x:c r="T148" s="26" t="n">
        <x:f>(P148-N148)^2+(Q148-O148)^2</x:f>
        <x:v>0.000001950263977050768</x:v>
      </x:c>
    </x:row>
    <x:row r="149">
      <x:c r="A149" t="str">
        <x:v>B</x:v>
      </x:c>
      <x:c r="B149" t="n">
        <x:v>46</x:v>
      </x:c>
      <x:c r="C149" t="str">
        <x:v>Case 3a(i) (PD), pure</x:v>
      </x:c>
      <x:c r="D149" t="str">
        <x:v>pure</x:v>
      </x:c>
      <x:c r="E149" s="26" t="n">
        <x:v>0.75</x:v>
      </x:c>
      <x:c r="F149" s="26" t="n">
        <x:v>0</x:v>
      </x:c>
      <x:c r="G149" s="26" t="n">
        <x:v>1</x:v>
      </x:c>
      <x:c r="H149" s="26" t="n">
        <x:v>0.2</x:v>
      </x:c>
      <x:c r="I149" t="str">
        <x:v>pi/4</x:v>
      </x:c>
      <x:c r="J149" s="26" t="n">
        <x:f>Raw_pure!G49</x:f>
        <x:v>0.0078125</x:v>
      </x:c>
      <x:c r="K149" s="26" t="n">
        <x:f>Raw_pure!H49</x:f>
        <x:v>0.50390625</x:v>
      </x:c>
      <x:c r="L149" s="26" t="n">
        <x:f>Raw_pure!I49</x:f>
        <x:v>0.4794921875</x:v>
      </x:c>
      <x:c r="M149" s="26" t="n">
        <x:f>Raw_pure!J49</x:f>
        <x:v>0.0087890625</x:v>
      </x:c>
      <x:c r="N149" s="26" t="n">
        <x:v>0.5</x:v>
      </x:c>
      <x:c r="O149" s="26" t="n">
        <x:v>0.5</x:v>
      </x:c>
      <x:c r="P149" s="26" t="n">
        <x:f>J149*E149+K149*F149+L149*G149+M149*H149</x:f>
        <x:v>0.487109375</x:v>
      </x:c>
      <x:c r="Q149" s="26" t="n">
        <x:f>J149*E149+K149*G149+L149*F149+M149*H149</x:f>
        <x:v>0.5115234375</x:v>
      </x:c>
      <x:c r="R149" s="26" t="n">
        <x:f>(P149+Q149)/2</x:f>
        <x:v>0.49931640624999996</x:v>
      </x:c>
      <x:c r="S149" s="26" t="n">
        <x:f>P149-Q149</x:f>
        <x:v>-0.024414062499999944</x:v>
      </x:c>
      <x:c r="T149" s="26" t="n">
        <x:f>(P149-N149)^2+(Q149-O149)^2</x:f>
        <x:v>0.00029895782470702997</x:v>
      </x:c>
    </x:row>
    <x:row r="150">
      <x:c r="A150" t="str">
        <x:v>B</x:v>
      </x:c>
      <x:c r="B150" t="n">
        <x:v>47</x:v>
      </x:c>
      <x:c r="C150" t="str">
        <x:v>Case 3a(i) (PD), pure</x:v>
      </x:c>
      <x:c r="D150" t="str">
        <x:v>pure</x:v>
      </x:c>
      <x:c r="E150" s="26" t="n">
        <x:v>0.75</x:v>
      </x:c>
      <x:c r="F150" s="26" t="n">
        <x:v>0</x:v>
      </x:c>
      <x:c r="G150" s="26" t="n">
        <x:v>1</x:v>
      </x:c>
      <x:c r="H150" s="26" t="n">
        <x:v>0.2</x:v>
      </x:c>
      <x:c r="I150" t="str">
        <x:v>pi/4</x:v>
      </x:c>
      <x:c r="J150" s="26" t="n">
        <x:f>Raw_pure!G50</x:f>
        <x:v>0.0068359375</x:v>
      </x:c>
      <x:c r="K150" s="26" t="n">
        <x:f>Raw_pure!H50</x:f>
        <x:v>0.49609375</x:v>
      </x:c>
      <x:c r="L150" s="26" t="n">
        <x:f>Raw_pure!I50</x:f>
        <x:v>0.490234375</x:v>
      </x:c>
      <x:c r="M150" s="26" t="n">
        <x:f>Raw_pure!J50</x:f>
        <x:v>0.0068359375</x:v>
      </x:c>
      <x:c r="N150" s="26" t="n">
        <x:v>0.5</x:v>
      </x:c>
      <x:c r="O150" s="26" t="n">
        <x:v>0.5</x:v>
      </x:c>
      <x:c r="P150" s="26" t="n">
        <x:f>J150*E150+K150*F150+L150*G150+M150*H150</x:f>
        <x:v>0.496728515625</x:v>
      </x:c>
      <x:c r="Q150" s="26" t="n">
        <x:f>J150*E150+K150*G150+L150*F150+M150*H150</x:f>
        <x:v>0.502587890625</x:v>
      </x:c>
      <x:c r="R150" s="26" t="n">
        <x:f>(P150+Q150)/2</x:f>
        <x:v>0.499658203125</x:v>
      </x:c>
      <x:c r="S150" s="26" t="n">
        <x:f>P150-Q150</x:f>
        <x:v>-0.005859375</x:v>
      </x:c>
      <x:c r="T150" s="26" t="n">
        <x:f>(P150-N150)^2+(Q150-O150)^2</x:f>
        <x:v>0.000017399787902832063</x:v>
      </x:c>
    </x:row>
    <x:row r="151">
      <x:c r="A151" t="str">
        <x:v>B</x:v>
      </x:c>
      <x:c r="B151" t="n">
        <x:v>48</x:v>
      </x:c>
      <x:c r="C151" t="str">
        <x:v>Case 3a(i) (PD), pure</x:v>
      </x:c>
      <x:c r="D151" t="str">
        <x:v>pure</x:v>
      </x:c>
      <x:c r="E151" s="26" t="n">
        <x:v>0.75</x:v>
      </x:c>
      <x:c r="F151" s="26" t="n">
        <x:v>0</x:v>
      </x:c>
      <x:c r="G151" s="26" t="n">
        <x:v>1</x:v>
      </x:c>
      <x:c r="H151" s="26" t="n">
        <x:v>0.2</x:v>
      </x:c>
      <x:c r="I151" t="str">
        <x:v>pi/4</x:v>
      </x:c>
      <x:c r="J151" s="26" t="n">
        <x:f>Raw_pure!G51</x:f>
        <x:v>0.009765625</x:v>
      </x:c>
      <x:c r="K151" s="26" t="n">
        <x:f>Raw_pure!H51</x:f>
        <x:v>0.4755859375</x:v>
      </x:c>
      <x:c r="L151" s="26" t="n">
        <x:f>Raw_pure!I51</x:f>
        <x:v>0.5048828125</x:v>
      </x:c>
      <x:c r="M151" s="26" t="n">
        <x:f>Raw_pure!J51</x:f>
        <x:v>0.009765625</x:v>
      </x:c>
      <x:c r="N151" s="26" t="n">
        <x:v>0.5</x:v>
      </x:c>
      <x:c r="O151" s="26" t="n">
        <x:v>0.5</x:v>
      </x:c>
      <x:c r="P151" s="26" t="n">
        <x:f>J151*E151+K151*F151+L151*G151+M151*H151</x:f>
        <x:v>0.51416015625</x:v>
      </x:c>
      <x:c r="Q151" s="26" t="n">
        <x:f>J151*E151+K151*G151+L151*F151+M151*H151</x:f>
        <x:v>0.48486328125</x:v>
      </x:c>
      <x:c r="R151" s="26" t="n">
        <x:f>(P151+Q151)/2</x:f>
        <x:v>0.49951171875</x:v>
      </x:c>
      <x:c r="S151" s="26" t="n">
        <x:f>P151-Q151</x:f>
        <x:v>0.029296875</x:v>
      </x:c>
      <x:c r="T151" s="26" t="n">
        <x:f>(P151-N151)^2+(Q151-O151)^2</x:f>
        <x:v>0.0004296302795410156</x:v>
      </x:c>
    </x:row>
    <x:row r="152">
      <x:c r="A152" t="str">
        <x:v>B</x:v>
      </x:c>
      <x:c r="B152" t="n">
        <x:v>49</x:v>
      </x:c>
      <x:c r="C152" t="str">
        <x:v>Case 3a(i) (PD), pure</x:v>
      </x:c>
      <x:c r="D152" t="str">
        <x:v>pure</x:v>
      </x:c>
      <x:c r="E152" s="26" t="n">
        <x:v>0.75</x:v>
      </x:c>
      <x:c r="F152" s="26" t="n">
        <x:v>0</x:v>
      </x:c>
      <x:c r="G152" s="26" t="n">
        <x:v>1</x:v>
      </x:c>
      <x:c r="H152" s="26" t="n">
        <x:v>0.2</x:v>
      </x:c>
      <x:c r="I152" t="str">
        <x:v>pi/4</x:v>
      </x:c>
      <x:c r="J152" s="26" t="n">
        <x:f>Raw_pure!G52</x:f>
        <x:v>0.009765625</x:v>
      </x:c>
      <x:c r="K152" s="26" t="n">
        <x:f>Raw_pure!H52</x:f>
        <x:v>0.4921875</x:v>
      </x:c>
      <x:c r="L152" s="26" t="n">
        <x:f>Raw_pure!I52</x:f>
        <x:v>0.490234375</x:v>
      </x:c>
      <x:c r="M152" s="26" t="n">
        <x:f>Raw_pure!J52</x:f>
        <x:v>0.0078125</x:v>
      </x:c>
      <x:c r="N152" s="26" t="n">
        <x:v>0.5</x:v>
      </x:c>
      <x:c r="O152" s="26" t="n">
        <x:v>0.5</x:v>
      </x:c>
      <x:c r="P152" s="26" t="n">
        <x:f>J152*E152+K152*F152+L152*G152+M152*H152</x:f>
        <x:v>0.49912109375</x:v>
      </x:c>
      <x:c r="Q152" s="26" t="n">
        <x:f>J152*E152+K152*G152+L152*F152+M152*H152</x:f>
        <x:v>0.50107421875</x:v>
      </x:c>
      <x:c r="R152" s="26" t="n">
        <x:f>(P152+Q152)/2</x:f>
        <x:v>0.50009765625</x:v>
      </x:c>
      <x:c r="S152" s="26" t="n">
        <x:f>P152-Q152</x:f>
        <x:v>-0.001953125</x:v>
      </x:c>
      <x:c r="T152" s="26" t="n">
        <x:f>(P152-N152)^2+(Q152-O152)^2</x:f>
        <x:v>0.0000019264221191406335</x:v>
      </x:c>
    </x:row>
    <x:row r="153">
      <x:c r="A153" t="str">
        <x:v>B</x:v>
      </x:c>
      <x:c r="B153" t="n">
        <x:v>50</x:v>
      </x:c>
      <x:c r="C153" t="str">
        <x:v>Case 3a(i) (PD), pure</x:v>
      </x:c>
      <x:c r="D153" t="str">
        <x:v>pure</x:v>
      </x:c>
      <x:c r="E153" s="26" t="n">
        <x:v>0.75</x:v>
      </x:c>
      <x:c r="F153" s="26" t="n">
        <x:v>0</x:v>
      </x:c>
      <x:c r="G153" s="26" t="n">
        <x:v>1</x:v>
      </x:c>
      <x:c r="H153" s="26" t="n">
        <x:v>0.2</x:v>
      </x:c>
      <x:c r="I153" t="str">
        <x:v>pi/4</x:v>
      </x:c>
      <x:c r="J153" s="26" t="n">
        <x:f>Raw_pure!G53</x:f>
        <x:v>0.0087890625</x:v>
      </x:c>
      <x:c r="K153" s="26" t="n">
        <x:f>Raw_pure!H53</x:f>
        <x:v>0.482421875</x:v>
      </x:c>
      <x:c r="L153" s="26" t="n">
        <x:f>Raw_pure!I53</x:f>
        <x:v>0.498046875</x:v>
      </x:c>
      <x:c r="M153" s="26" t="n">
        <x:f>Raw_pure!J53</x:f>
        <x:v>0.0107421875</x:v>
      </x:c>
      <x:c r="N153" s="26" t="n">
        <x:v>0.5</x:v>
      </x:c>
      <x:c r="O153" s="26" t="n">
        <x:v>0.5</x:v>
      </x:c>
      <x:c r="P153" s="26" t="n">
        <x:f>J153*E153+K153*F153+L153*G153+M153*H153</x:f>
        <x:v>0.506787109375</x:v>
      </x:c>
      <x:c r="Q153" s="26" t="n">
        <x:f>J153*E153+K153*G153+L153*F153+M153*H153</x:f>
        <x:v>0.491162109375</x:v>
      </x:c>
      <x:c r="R153" s="26" t="n">
        <x:f>(P153+Q153)/2</x:f>
        <x:v>0.49897460937500004</x:v>
      </x:c>
      <x:c r="S153" s="26" t="n">
        <x:f>P153-Q153</x:f>
        <x:v>0.015625000000000056</x:v>
      </x:c>
      <x:c r="T153" s="26" t="n">
        <x:f>(P153-N153)^2+(Q153-O153)^2</x:f>
        <x:v>0.00012417316436767658</x:v>
      </x:c>
    </x:row>
    <x:row r="154">
      <x:c r="A154" t="str">
        <x:v>B</x:v>
      </x:c>
      <x:c r="B154" t="n">
        <x:v>51</x:v>
      </x:c>
      <x:c r="C154" t="str">
        <x:v>Case 3a(i) (PD), pure</x:v>
      </x:c>
      <x:c r="D154" t="str">
        <x:v>pure</x:v>
      </x:c>
      <x:c r="E154" s="26" t="n">
        <x:v>0.75</x:v>
      </x:c>
      <x:c r="F154" s="26" t="n">
        <x:v>0</x:v>
      </x:c>
      <x:c r="G154" s="26" t="n">
        <x:v>1</x:v>
      </x:c>
      <x:c r="H154" s="26" t="n">
        <x:v>0.2</x:v>
      </x:c>
      <x:c r="I154" t="str">
        <x:v>pi/4</x:v>
      </x:c>
      <x:c r="J154" s="26" t="n">
        <x:f>Raw_pure!G54</x:f>
        <x:v>0.00390625</x:v>
      </x:c>
      <x:c r="K154" s="26" t="n">
        <x:f>Raw_pure!H54</x:f>
        <x:v>0.4736328125</x:v>
      </x:c>
      <x:c r="L154" s="26" t="n">
        <x:f>Raw_pure!I54</x:f>
        <x:v>0.5107421875</x:v>
      </x:c>
      <x:c r="M154" s="26" t="n">
        <x:f>Raw_pure!J54</x:f>
        <x:v>0.01171875</x:v>
      </x:c>
      <x:c r="N154" s="26" t="n">
        <x:v>0.5</x:v>
      </x:c>
      <x:c r="O154" s="26" t="n">
        <x:v>0.5</x:v>
      </x:c>
      <x:c r="P154" s="26" t="n">
        <x:f>J154*E154+K154*F154+L154*G154+M154*H154</x:f>
        <x:v>0.516015625</x:v>
      </x:c>
      <x:c r="Q154" s="26" t="n">
        <x:f>J154*E154+K154*G154+L154*F154+M154*H154</x:f>
        <x:v>0.47890625</x:v>
      </x:c>
      <x:c r="R154" s="26" t="n">
        <x:f>(P154+Q154)/2</x:f>
        <x:v>0.4974609375</x:v>
      </x:c>
      <x:c r="S154" s="26" t="n">
        <x:f>P154-Q154</x:f>
        <x:v>0.037109375</x:v>
      </x:c>
      <x:c r="T154" s="26" t="n">
        <x:f>(P154-N154)^2+(Q154-O154)^2</x:f>
        <x:v>0.0007014465332031252</x:v>
      </x:c>
    </x:row>
    <x:row r="155">
      <x:c r="A155" t="str">
        <x:v>B</x:v>
      </x:c>
      <x:c r="B155" t="n">
        <x:v>52</x:v>
      </x:c>
      <x:c r="C155" t="str">
        <x:v>Case 3a(i) (PD), pure</x:v>
      </x:c>
      <x:c r="D155" t="str">
        <x:v>pure</x:v>
      </x:c>
      <x:c r="E155" s="26" t="n">
        <x:v>0.75</x:v>
      </x:c>
      <x:c r="F155" s="26" t="n">
        <x:v>0</x:v>
      </x:c>
      <x:c r="G155" s="26" t="n">
        <x:v>1</x:v>
      </x:c>
      <x:c r="H155" s="26" t="n">
        <x:v>0.2</x:v>
      </x:c>
      <x:c r="I155" t="str">
        <x:v>pi/4</x:v>
      </x:c>
      <x:c r="J155" s="26" t="n">
        <x:f>Raw_pure!G55</x:f>
        <x:v>0.0107421875</x:v>
      </x:c>
      <x:c r="K155" s="26" t="n">
        <x:f>Raw_pure!H55</x:f>
        <x:v>0.5185546875</x:v>
      </x:c>
      <x:c r="L155" s="26" t="n">
        <x:f>Raw_pure!I55</x:f>
        <x:v>0.4619140625</x:v>
      </x:c>
      <x:c r="M155" s="26" t="n">
        <x:f>Raw_pure!J55</x:f>
        <x:v>0.0087890625</x:v>
      </x:c>
      <x:c r="N155" s="26" t="n">
        <x:v>0.5</x:v>
      </x:c>
      <x:c r="O155" s="26" t="n">
        <x:v>0.5</x:v>
      </x:c>
      <x:c r="P155" s="26" t="n">
        <x:f>J155*E155+K155*F155+L155*G155+M155*H155</x:f>
        <x:v>0.471728515625</x:v>
      </x:c>
      <x:c r="Q155" s="26" t="n">
        <x:f>J155*E155+K155*G155+L155*F155+M155*H155</x:f>
        <x:v>0.528369140625</x:v>
      </x:c>
      <x:c r="R155" s="26" t="n">
        <x:f>(P155+Q155)/2</x:f>
        <x:v>0.500048828125</x:v>
      </x:c>
      <x:c r="S155" s="26" t="n">
        <x:f>P155-Q155</x:f>
        <x:v>-0.056640624999999944</x:v>
      </x:c>
      <x:c r="T155" s="26" t="n">
        <x:f>(P155-N155)^2+(Q155-O155)^2</x:f>
        <x:v>0.0016040849685668914</x:v>
      </x:c>
    </x:row>
    <x:row r="156">
      <x:c r="A156" t="str">
        <x:v>B</x:v>
      </x:c>
      <x:c r="B156" t="n">
        <x:v>53</x:v>
      </x:c>
      <x:c r="C156" t="str">
        <x:v>Case 3a(i) (PD), pure</x:v>
      </x:c>
      <x:c r="D156" t="str">
        <x:v>pure</x:v>
      </x:c>
      <x:c r="E156" s="26" t="n">
        <x:v>0.75</x:v>
      </x:c>
      <x:c r="F156" s="26" t="n">
        <x:v>0</x:v>
      </x:c>
      <x:c r="G156" s="26" t="n">
        <x:v>1</x:v>
      </x:c>
      <x:c r="H156" s="26" t="n">
        <x:v>0.2</x:v>
      </x:c>
      <x:c r="I156" t="str">
        <x:v>pi/4</x:v>
      </x:c>
      <x:c r="J156" s="26" t="n">
        <x:f>Raw_pure!G56</x:f>
        <x:v>0.0078125</x:v>
      </x:c>
      <x:c r="K156" s="26" t="n">
        <x:f>Raw_pure!H56</x:f>
        <x:v>0.4931640625</x:v>
      </x:c>
      <x:c r="L156" s="26" t="n">
        <x:f>Raw_pure!I56</x:f>
        <x:v>0.4892578125</x:v>
      </x:c>
      <x:c r="M156" s="26" t="n">
        <x:f>Raw_pure!J56</x:f>
        <x:v>0.009765625</x:v>
      </x:c>
      <x:c r="N156" s="26" t="n">
        <x:v>0.5</x:v>
      </x:c>
      <x:c r="O156" s="26" t="n">
        <x:v>0.5</x:v>
      </x:c>
      <x:c r="P156" s="26" t="n">
        <x:f>J156*E156+K156*F156+L156*G156+M156*H156</x:f>
        <x:v>0.4970703125</x:v>
      </x:c>
      <x:c r="Q156" s="26" t="n">
        <x:f>J156*E156+K156*G156+L156*F156+M156*H156</x:f>
        <x:v>0.5009765625</x:v>
      </x:c>
      <x:c r="R156" s="26" t="n">
        <x:f>(P156+Q156)/2</x:f>
        <x:v>0.4990234375</x:v>
      </x:c>
      <x:c r="S156" s="26" t="n">
        <x:f>P156-Q156</x:f>
        <x:v>-0.00390625</x:v>
      </x:c>
      <x:c r="T156" s="26" t="n">
        <x:f>(P156-N156)^2+(Q156-O156)^2</x:f>
        <x:v>0.0000095367431640625</x:v>
      </x:c>
    </x:row>
    <x:row r="157">
      <x:c r="A157" t="str">
        <x:v>B</x:v>
      </x:c>
      <x:c r="B157" t="n">
        <x:v>54</x:v>
      </x:c>
      <x:c r="C157" t="str">
        <x:v>Case 3a(i) (PD), pure</x:v>
      </x:c>
      <x:c r="D157" t="str">
        <x:v>pure</x:v>
      </x:c>
      <x:c r="E157" s="26" t="n">
        <x:v>0.75</x:v>
      </x:c>
      <x:c r="F157" s="26" t="n">
        <x:v>0</x:v>
      </x:c>
      <x:c r="G157" s="26" t="n">
        <x:v>1</x:v>
      </x:c>
      <x:c r="H157" s="26" t="n">
        <x:v>0.2</x:v>
      </x:c>
      <x:c r="I157" t="str">
        <x:v>pi/4</x:v>
      </x:c>
      <x:c r="J157" s="26" t="n">
        <x:f>Raw_pure!G57</x:f>
        <x:v>0.0087890625</x:v>
      </x:c>
      <x:c r="K157" s="26" t="n">
        <x:f>Raw_pure!H57</x:f>
        <x:v>0.458984375</x:v>
      </x:c>
      <x:c r="L157" s="26" t="n">
        <x:f>Raw_pure!I57</x:f>
        <x:v>0.525390625</x:v>
      </x:c>
      <x:c r="M157" s="26" t="n">
        <x:f>Raw_pure!J57</x:f>
        <x:v>0.0068359375</x:v>
      </x:c>
      <x:c r="N157" s="26" t="n">
        <x:v>0.5</x:v>
      </x:c>
      <x:c r="O157" s="26" t="n">
        <x:v>0.5</x:v>
      </x:c>
      <x:c r="P157" s="26" t="n">
        <x:f>J157*E157+K157*F157+L157*G157+M157*H157</x:f>
        <x:v>0.533349609375</x:v>
      </x:c>
      <x:c r="Q157" s="26" t="n">
        <x:f>J157*E157+K157*G157+L157*F157+M157*H157</x:f>
        <x:v>0.466943359375</x:v>
      </x:c>
      <x:c r="R157" s="26" t="n">
        <x:f>(P157+Q157)/2</x:f>
        <x:v>0.500146484375</x:v>
      </x:c>
      <x:c r="S157" s="26" t="n">
        <x:f>P157-Q157</x:f>
        <x:v>0.06640625</x:v>
      </x:c>
      <x:c r="T157" s="26" t="n">
        <x:f>(P157-N157)^2+(Q157-O157)^2</x:f>
        <x:v>0.0022049379348754884</x:v>
      </x:c>
    </x:row>
    <x:row r="158">
      <x:c r="A158" t="str">
        <x:v>B</x:v>
      </x:c>
      <x:c r="B158" t="n">
        <x:v>55</x:v>
      </x:c>
      <x:c r="C158" t="str">
        <x:v>Case 3a(i) (PD), pure</x:v>
      </x:c>
      <x:c r="D158" t="str">
        <x:v>pure</x:v>
      </x:c>
      <x:c r="E158" s="26" t="n">
        <x:v>0.75</x:v>
      </x:c>
      <x:c r="F158" s="26" t="n">
        <x:v>0</x:v>
      </x:c>
      <x:c r="G158" s="26" t="n">
        <x:v>1</x:v>
      </x:c>
      <x:c r="H158" s="26" t="n">
        <x:v>0.2</x:v>
      </x:c>
      <x:c r="I158" t="str">
        <x:v>pi/4</x:v>
      </x:c>
      <x:c r="J158" s="26" t="n">
        <x:f>Raw_pure!G58</x:f>
        <x:v>0.0107421875</x:v>
      </x:c>
      <x:c r="K158" s="26" t="n">
        <x:f>Raw_pure!H58</x:f>
        <x:v>0.5</x:v>
      </x:c>
      <x:c r="L158" s="26" t="n">
        <x:f>Raw_pure!I58</x:f>
        <x:v>0.486328125</x:v>
      </x:c>
      <x:c r="M158" s="26" t="n">
        <x:f>Raw_pure!J58</x:f>
        <x:v>0.0029296875</x:v>
      </x:c>
      <x:c r="N158" s="26" t="n">
        <x:v>0.5</x:v>
      </x:c>
      <x:c r="O158" s="26" t="n">
        <x:v>0.5</x:v>
      </x:c>
      <x:c r="P158" s="26" t="n">
        <x:f>J158*E158+K158*F158+L158*G158+M158*H158</x:f>
        <x:v>0.494970703125</x:v>
      </x:c>
      <x:c r="Q158" s="26" t="n">
        <x:f>J158*E158+K158*G158+L158*F158+M158*H158</x:f>
        <x:v>0.508642578125</x:v>
      </x:c>
      <x:c r="R158" s="26" t="n">
        <x:f>(P158+Q158)/2</x:f>
        <x:v>0.501806640625</x:v>
      </x:c>
      <x:c r="S158" s="26" t="n">
        <x:f>P158-Q158</x:f>
        <x:v>-0.013671875</x:v>
      </x:c>
      <x:c r="T158" s="26" t="n">
        <x:f>(P158-N158)^2+(Q158-O158)^2</x:f>
        <x:v>0.00009998798370361344</x:v>
      </x:c>
    </x:row>
    <x:row r="159">
      <x:c r="A159" t="str">
        <x:v>B</x:v>
      </x:c>
      <x:c r="B159" t="n">
        <x:v>56</x:v>
      </x:c>
      <x:c r="C159" t="str">
        <x:v>Case 3a(i) (PD), pure</x:v>
      </x:c>
      <x:c r="D159" t="str">
        <x:v>pure</x:v>
      </x:c>
      <x:c r="E159" s="26" t="n">
        <x:v>0.75</x:v>
      </x:c>
      <x:c r="F159" s="26" t="n">
        <x:v>0</x:v>
      </x:c>
      <x:c r="G159" s="26" t="n">
        <x:v>1</x:v>
      </x:c>
      <x:c r="H159" s="26" t="n">
        <x:v>0.2</x:v>
      </x:c>
      <x:c r="I159" t="str">
        <x:v>pi/4</x:v>
      </x:c>
      <x:c r="J159" s="26" t="n">
        <x:f>Raw_pure!G59</x:f>
        <x:v>0.0087890625</x:v>
      </x:c>
      <x:c r="K159" s="26" t="n">
        <x:f>Raw_pure!H59</x:f>
        <x:v>0.4599609375</x:v>
      </x:c>
      <x:c r="L159" s="26" t="n">
        <x:f>Raw_pure!I59</x:f>
        <x:v>0.5224609375</x:v>
      </x:c>
      <x:c r="M159" s="26" t="n">
        <x:f>Raw_pure!J59</x:f>
        <x:v>0.0087890625</x:v>
      </x:c>
      <x:c r="N159" s="26" t="n">
        <x:v>0.5</x:v>
      </x:c>
      <x:c r="O159" s="26" t="n">
        <x:v>0.5</x:v>
      </x:c>
      <x:c r="P159" s="26" t="n">
        <x:f>J159*E159+K159*F159+L159*G159+M159*H159</x:f>
        <x:v>0.530810546875</x:v>
      </x:c>
      <x:c r="Q159" s="26" t="n">
        <x:f>J159*E159+K159*G159+L159*F159+M159*H159</x:f>
        <x:v>0.468310546875</x:v>
      </x:c>
      <x:c r="R159" s="26" t="n">
        <x:f>(P159+Q159)/2</x:f>
        <x:v>0.49956054687499996</x:v>
      </x:c>
      <x:c r="S159" s="26" t="n">
        <x:f>P159-Q159</x:f>
        <x:v>0.062499999999999944</x:v>
      </x:c>
      <x:c r="T159" s="26" t="n">
        <x:f>(P159-N159)^2+(Q159-O159)^2</x:f>
        <x:v>0.0019535112380981413</x:v>
      </x:c>
    </x:row>
    <x:row r="160">
      <x:c r="A160" t="str">
        <x:v>B</x:v>
      </x:c>
      <x:c r="B160" t="n">
        <x:v>57</x:v>
      </x:c>
      <x:c r="C160" t="str">
        <x:v>Case 3a(i) (PD), pure</x:v>
      </x:c>
      <x:c r="D160" t="str">
        <x:v>pure</x:v>
      </x:c>
      <x:c r="E160" s="26" t="n">
        <x:v>0.75</x:v>
      </x:c>
      <x:c r="F160" s="26" t="n">
        <x:v>0</x:v>
      </x:c>
      <x:c r="G160" s="26" t="n">
        <x:v>1</x:v>
      </x:c>
      <x:c r="H160" s="26" t="n">
        <x:v>0.2</x:v>
      </x:c>
      <x:c r="I160" t="str">
        <x:v>pi/4</x:v>
      </x:c>
      <x:c r="J160" s="26" t="n">
        <x:f>Raw_pure!G60</x:f>
        <x:v>0.01171875</x:v>
      </x:c>
      <x:c r="K160" s="26" t="n">
        <x:f>Raw_pure!H60</x:f>
        <x:v>0.4765625</x:v>
      </x:c>
      <x:c r="L160" s="26" t="n">
        <x:f>Raw_pure!I60</x:f>
        <x:v>0.50390625</x:v>
      </x:c>
      <x:c r="M160" s="26" t="n">
        <x:f>Raw_pure!J60</x:f>
        <x:v>0.0078125</x:v>
      </x:c>
      <x:c r="N160" s="26" t="n">
        <x:v>0.5</x:v>
      </x:c>
      <x:c r="O160" s="26" t="n">
        <x:v>0.5</x:v>
      </x:c>
      <x:c r="P160" s="26" t="n">
        <x:f>J160*E160+K160*F160+L160*G160+M160*H160</x:f>
        <x:v>0.5142578125</x:v>
      </x:c>
      <x:c r="Q160" s="26" t="n">
        <x:f>J160*E160+K160*G160+L160*F160+M160*H160</x:f>
        <x:v>0.4869140625</x:v>
      </x:c>
      <x:c r="R160" s="26" t="n">
        <x:f>(P160+Q160)/2</x:f>
        <x:v>0.5005859375</x:v>
      </x:c>
      <x:c r="S160" s="26" t="n">
        <x:f>P160-Q160</x:f>
        <x:v>0.02734375</x:v>
      </x:c>
      <x:c r="T160" s="26" t="n">
        <x:f>(P160-N160)^2+(Q160-O160)^2</x:f>
        <x:v>0.0003745269775390625</x:v>
      </x:c>
    </x:row>
    <x:row r="161">
      <x:c r="A161" t="str">
        <x:v>B</x:v>
      </x:c>
      <x:c r="B161" t="n">
        <x:v>58</x:v>
      </x:c>
      <x:c r="C161" t="str">
        <x:v>Case 3a(i) (PD), pure</x:v>
      </x:c>
      <x:c r="D161" t="str">
        <x:v>pure</x:v>
      </x:c>
      <x:c r="E161" s="26" t="n">
        <x:v>0.75</x:v>
      </x:c>
      <x:c r="F161" s="26" t="n">
        <x:v>0</x:v>
      </x:c>
      <x:c r="G161" s="26" t="n">
        <x:v>1</x:v>
      </x:c>
      <x:c r="H161" s="26" t="n">
        <x:v>0.2</x:v>
      </x:c>
      <x:c r="I161" t="str">
        <x:v>pi/4</x:v>
      </x:c>
      <x:c r="J161" s="26" t="n">
        <x:f>Raw_pure!G61</x:f>
        <x:v>0.009765625</x:v>
      </x:c>
      <x:c r="K161" s="26" t="n">
        <x:f>Raw_pure!H61</x:f>
        <x:v>0.4794921875</x:v>
      </x:c>
      <x:c r="L161" s="26" t="n">
        <x:f>Raw_pure!I61</x:f>
        <x:v>0.5048828125</x:v>
      </x:c>
      <x:c r="M161" s="26" t="n">
        <x:f>Raw_pure!J61</x:f>
        <x:v>0.005859375</x:v>
      </x:c>
      <x:c r="N161" s="26" t="n">
        <x:v>0.5</x:v>
      </x:c>
      <x:c r="O161" s="26" t="n">
        <x:v>0.5</x:v>
      </x:c>
      <x:c r="P161" s="26" t="n">
        <x:f>J161*E161+K161*F161+L161*G161+M161*H161</x:f>
        <x:v>0.51337890625</x:v>
      </x:c>
      <x:c r="Q161" s="26" t="n">
        <x:f>J161*E161+K161*G161+L161*F161+M161*H161</x:f>
        <x:v>0.48798828125</x:v>
      </x:c>
      <x:c r="R161" s="26" t="n">
        <x:f>(P161+Q161)/2</x:f>
        <x:v>0.50068359375</x:v>
      </x:c>
      <x:c r="S161" s="26" t="n">
        <x:f>P161-Q161</x:f>
        <x:v>0.025390625000000056</x:v>
      </x:c>
      <x:c r="T161" s="26" t="n">
        <x:f>(P161-N161)^2+(Q161-O161)^2</x:f>
        <x:v>0.00032327651977539205</x:v>
      </x:c>
    </x:row>
    <x:row r="162">
      <x:c r="A162" t="str">
        <x:v>B</x:v>
      </x:c>
      <x:c r="B162" t="n">
        <x:v>59</x:v>
      </x:c>
      <x:c r="C162" t="str">
        <x:v>Case 3a(i) (PD), pure</x:v>
      </x:c>
      <x:c r="D162" t="str">
        <x:v>pure</x:v>
      </x:c>
      <x:c r="E162" s="26" t="n">
        <x:v>0.75</x:v>
      </x:c>
      <x:c r="F162" s="26" t="n">
        <x:v>0</x:v>
      </x:c>
      <x:c r="G162" s="26" t="n">
        <x:v>1</x:v>
      </x:c>
      <x:c r="H162" s="26" t="n">
        <x:v>0.2</x:v>
      </x:c>
      <x:c r="I162" t="str">
        <x:v>pi/4</x:v>
      </x:c>
      <x:c r="J162" s="26" t="n">
        <x:f>Raw_pure!G62</x:f>
        <x:v>0.0107421875</x:v>
      </x:c>
      <x:c r="K162" s="26" t="n">
        <x:f>Raw_pure!H62</x:f>
        <x:v>0.4736328125</x:v>
      </x:c>
      <x:c r="L162" s="26" t="n">
        <x:f>Raw_pure!I62</x:f>
        <x:v>0.5068359375</x:v>
      </x:c>
      <x:c r="M162" s="26" t="n">
        <x:f>Raw_pure!J62</x:f>
        <x:v>0.0087890625</x:v>
      </x:c>
      <x:c r="N162" s="26" t="n">
        <x:v>0.5</x:v>
      </x:c>
      <x:c r="O162" s="26" t="n">
        <x:v>0.5</x:v>
      </x:c>
      <x:c r="P162" s="26" t="n">
        <x:f>J162*E162+K162*F162+L162*G162+M162*H162</x:f>
        <x:v>0.516650390625</x:v>
      </x:c>
      <x:c r="Q162" s="26" t="n">
        <x:f>J162*E162+K162*G162+L162*F162+M162*H162</x:f>
        <x:v>0.483447265625</x:v>
      </x:c>
      <x:c r="R162" s="26" t="n">
        <x:f>(P162+Q162)/2</x:f>
        <x:v>0.500048828125</x:v>
      </x:c>
      <x:c r="S162" s="26" t="n">
        <x:f>P162-Q162</x:f>
        <x:v>0.033203124999999944</x:v>
      </x:c>
      <x:c r="T162" s="26" t="n">
        <x:f>(P162-N162)^2+(Q162-O162)^2</x:f>
        <x:v>0.0005512285232543927</x:v>
      </x:c>
    </x:row>
    <x:row r="163">
      <x:c r="A163" t="str">
        <x:v>B</x:v>
      </x:c>
      <x:c r="B163" t="n">
        <x:v>60</x:v>
      </x:c>
      <x:c r="C163" t="str">
        <x:v>Case 3a(i) (PD), pure</x:v>
      </x:c>
      <x:c r="D163" t="str">
        <x:v>pure</x:v>
      </x:c>
      <x:c r="E163" s="26" t="n">
        <x:v>0.75</x:v>
      </x:c>
      <x:c r="F163" s="26" t="n">
        <x:v>0</x:v>
      </x:c>
      <x:c r="G163" s="26" t="n">
        <x:v>1</x:v>
      </x:c>
      <x:c r="H163" s="26" t="n">
        <x:v>0.2</x:v>
      </x:c>
      <x:c r="I163" t="str">
        <x:v>pi/4</x:v>
      </x:c>
      <x:c r="J163" s="26" t="n">
        <x:f>Raw_pure!G63</x:f>
        <x:v>0.005859375</x:v>
      </x:c>
      <x:c r="K163" s="26" t="n">
        <x:f>Raw_pure!H63</x:f>
        <x:v>0.505859375</x:v>
      </x:c>
      <x:c r="L163" s="26" t="n">
        <x:f>Raw_pure!I63</x:f>
        <x:v>0.4775390625</x:v>
      </x:c>
      <x:c r="M163" s="26" t="n">
        <x:f>Raw_pure!J63</x:f>
        <x:v>0.0107421875</x:v>
      </x:c>
      <x:c r="N163" s="26" t="n">
        <x:v>0.5</x:v>
      </x:c>
      <x:c r="O163" s="26" t="n">
        <x:v>0.5</x:v>
      </x:c>
      <x:c r="P163" s="26" t="n">
        <x:f>J163*E163+K163*F163+L163*G163+M163*H163</x:f>
        <x:v>0.48408203125</x:v>
      </x:c>
      <x:c r="Q163" s="26" t="n">
        <x:f>J163*E163+K163*G163+L163*F163+M163*H163</x:f>
        <x:v>0.51240234375</x:v>
      </x:c>
      <x:c r="R163" s="26" t="n">
        <x:f>(P163+Q163)/2</x:f>
        <x:v>0.49824218750000004</x:v>
      </x:c>
      <x:c r="S163" s="26" t="n">
        <x:f>P163-Q163</x:f>
        <x:v>-0.028320312500000056</x:v>
      </x:c>
      <x:c r="T163" s="26" t="n">
        <x:f>(P163-N163)^2+(Q163-O163)^2</x:f>
        <x:v>0.0004071998596191421</x:v>
      </x:c>
    </x:row>
    <x:row r="164">
      <x:c r="A164" t="str">
        <x:v>B</x:v>
      </x:c>
      <x:c r="B164" t="n">
        <x:v>61</x:v>
      </x:c>
      <x:c r="C164" t="str">
        <x:v>Case 3a(i) (PD), pure</x:v>
      </x:c>
      <x:c r="D164" t="str">
        <x:v>pure</x:v>
      </x:c>
      <x:c r="E164" s="26" t="n">
        <x:v>0.75</x:v>
      </x:c>
      <x:c r="F164" s="26" t="n">
        <x:v>0</x:v>
      </x:c>
      <x:c r="G164" s="26" t="n">
        <x:v>1</x:v>
      </x:c>
      <x:c r="H164" s="26" t="n">
        <x:v>0.2</x:v>
      </x:c>
      <x:c r="I164" t="str">
        <x:v>pi/4</x:v>
      </x:c>
      <x:c r="J164" s="26" t="n">
        <x:f>Raw_pure!G64</x:f>
        <x:v>0.0126953125</x:v>
      </x:c>
      <x:c r="K164" s="26" t="n">
        <x:f>Raw_pure!H64</x:f>
        <x:v>0.4765625</x:v>
      </x:c>
      <x:c r="L164" s="26" t="n">
        <x:f>Raw_pure!I64</x:f>
        <x:v>0.50390625</x:v>
      </x:c>
      <x:c r="M164" s="26" t="n">
        <x:f>Raw_pure!J64</x:f>
        <x:v>0.0068359375</x:v>
      </x:c>
      <x:c r="N164" s="26" t="n">
        <x:v>0.5</x:v>
      </x:c>
      <x:c r="O164" s="26" t="n">
        <x:v>0.5</x:v>
      </x:c>
      <x:c r="P164" s="26" t="n">
        <x:f>J164*E164+K164*F164+L164*G164+M164*H164</x:f>
        <x:v>0.514794921875</x:v>
      </x:c>
      <x:c r="Q164" s="26" t="n">
        <x:f>J164*E164+K164*G164+L164*F164+M164*H164</x:f>
        <x:v>0.487451171875</x:v>
      </x:c>
      <x:c r="R164" s="26" t="n">
        <x:f>(P164+Q164)/2</x:f>
        <x:v>0.501123046875</x:v>
      </x:c>
      <x:c r="S164" s="26" t="n">
        <x:f>P164-Q164</x:f>
        <x:v>0.02734375</x:v>
      </x:c>
      <x:c r="T164" s="26" t="n">
        <x:f>(P164-N164)^2+(Q164-O164)^2</x:f>
        <x:v>0.0003763628005981444</x:v>
      </x:c>
    </x:row>
    <x:row r="165">
      <x:c r="A165" t="str">
        <x:v>B</x:v>
      </x:c>
      <x:c r="B165" t="n">
        <x:v>62</x:v>
      </x:c>
      <x:c r="C165" t="str">
        <x:v>Case 3a(i) (PD), pure</x:v>
      </x:c>
      <x:c r="D165" t="str">
        <x:v>pure</x:v>
      </x:c>
      <x:c r="E165" s="26" t="n">
        <x:v>0.75</x:v>
      </x:c>
      <x:c r="F165" s="26" t="n">
        <x:v>0</x:v>
      </x:c>
      <x:c r="G165" s="26" t="n">
        <x:v>1</x:v>
      </x:c>
      <x:c r="H165" s="26" t="n">
        <x:v>0.2</x:v>
      </x:c>
      <x:c r="I165" t="str">
        <x:v>pi/4</x:v>
      </x:c>
      <x:c r="J165" s="26" t="n">
        <x:f>Raw_pure!G65</x:f>
        <x:v>0.0078125</x:v>
      </x:c>
      <x:c r="K165" s="26" t="n">
        <x:f>Raw_pure!H65</x:f>
        <x:v>0.48828125</x:v>
      </x:c>
      <x:c r="L165" s="26" t="n">
        <x:f>Raw_pure!I65</x:f>
        <x:v>0.4951171875</x:v>
      </x:c>
      <x:c r="M165" s="26" t="n">
        <x:f>Raw_pure!J65</x:f>
        <x:v>0.0087890625</x:v>
      </x:c>
      <x:c r="N165" s="26" t="n">
        <x:v>0.5</x:v>
      </x:c>
      <x:c r="O165" s="26" t="n">
        <x:v>0.5</x:v>
      </x:c>
      <x:c r="P165" s="26" t="n">
        <x:f>J165*E165+K165*F165+L165*G165+M165*H165</x:f>
        <x:v>0.502734375</x:v>
      </x:c>
      <x:c r="Q165" s="26" t="n">
        <x:f>J165*E165+K165*G165+L165*F165+M165*H165</x:f>
        <x:v>0.4958984375</x:v>
      </x:c>
      <x:c r="R165" s="26" t="n">
        <x:f>(P165+Q165)/2</x:f>
        <x:v>0.49931640624999996</x:v>
      </x:c>
      <x:c r="S165" s="26" t="n">
        <x:f>P165-Q165</x:f>
        <x:v>0.0068359374999999445</x:v>
      </x:c>
      <x:c r="T165" s="26" t="n">
        <x:f>(P165-N165)^2+(Q165-O165)^2</x:f>
        <x:v>0.000024299621582030915</x:v>
      </x:c>
    </x:row>
    <x:row r="166">
      <x:c r="A166" t="str">
        <x:v>B</x:v>
      </x:c>
      <x:c r="B166" t="n">
        <x:v>63</x:v>
      </x:c>
      <x:c r="C166" t="str">
        <x:v>Case 3a(i) (PD), pure</x:v>
      </x:c>
      <x:c r="D166" t="str">
        <x:v>pure</x:v>
      </x:c>
      <x:c r="E166" s="26" t="n">
        <x:v>0.75</x:v>
      </x:c>
      <x:c r="F166" s="26" t="n">
        <x:v>0</x:v>
      </x:c>
      <x:c r="G166" s="26" t="n">
        <x:v>1</x:v>
      </x:c>
      <x:c r="H166" s="26" t="n">
        <x:v>0.2</x:v>
      </x:c>
      <x:c r="I166" t="str">
        <x:v>pi/4</x:v>
      </x:c>
      <x:c r="J166" s="26" t="n">
        <x:f>Raw_pure!G66</x:f>
        <x:v>0.005859375</x:v>
      </x:c>
      <x:c r="K166" s="26" t="n">
        <x:f>Raw_pure!H66</x:f>
        <x:v>0.4833984375</x:v>
      </x:c>
      <x:c r="L166" s="26" t="n">
        <x:f>Raw_pure!I66</x:f>
        <x:v>0.5068359375</x:v>
      </x:c>
      <x:c r="M166" s="26" t="n">
        <x:f>Raw_pure!J66</x:f>
        <x:v>0.00390625</x:v>
      </x:c>
      <x:c r="N166" s="26" t="n">
        <x:v>0.5</x:v>
      </x:c>
      <x:c r="O166" s="26" t="n">
        <x:v>0.5</x:v>
      </x:c>
      <x:c r="P166" s="26" t="n">
        <x:f>J166*E166+K166*F166+L166*G166+M166*H166</x:f>
        <x:v>0.51201171875</x:v>
      </x:c>
      <x:c r="Q166" s="26" t="n">
        <x:f>J166*E166+K166*G166+L166*F166+M166*H166</x:f>
        <x:v>0.48857421875</x:v>
      </x:c>
      <x:c r="R166" s="26" t="n">
        <x:f>(P166+Q166)/2</x:f>
        <x:v>0.50029296875</x:v>
      </x:c>
      <x:c r="S166" s="26" t="n">
        <x:f>P166-Q166</x:f>
        <x:v>0.023437499999999944</x:v>
      </x:c>
      <x:c r="T166" s="26" t="n">
        <x:f>(P166-N166)^2+(Q166-O166)^2</x:f>
        <x:v>0.0002748298645019518</x:v>
      </x:c>
    </x:row>
    <x:row r="167">
      <x:c r="A167" t="str">
        <x:v>B</x:v>
      </x:c>
      <x:c r="B167" t="n">
        <x:v>64</x:v>
      </x:c>
      <x:c r="C167" t="str">
        <x:v>Case 3a(i) (PD), pure</x:v>
      </x:c>
      <x:c r="D167" t="str">
        <x:v>pure</x:v>
      </x:c>
      <x:c r="E167" s="26" t="n">
        <x:v>0.75</x:v>
      </x:c>
      <x:c r="F167" s="26" t="n">
        <x:v>0</x:v>
      </x:c>
      <x:c r="G167" s="26" t="n">
        <x:v>1</x:v>
      </x:c>
      <x:c r="H167" s="26" t="n">
        <x:v>0.2</x:v>
      </x:c>
      <x:c r="I167" t="str">
        <x:v>pi/4</x:v>
      </x:c>
      <x:c r="J167" s="26" t="n">
        <x:f>Raw_pure!G67</x:f>
        <x:v>0.0068359375</x:v>
      </x:c>
      <x:c r="K167" s="26" t="n">
        <x:f>Raw_pure!H67</x:f>
        <x:v>0.494140625</x:v>
      </x:c>
      <x:c r="L167" s="26" t="n">
        <x:f>Raw_pure!I67</x:f>
        <x:v>0.4931640625</x:v>
      </x:c>
      <x:c r="M167" s="26" t="n">
        <x:f>Raw_pure!J67</x:f>
        <x:v>0.005859375</x:v>
      </x:c>
      <x:c r="N167" s="26" t="n">
        <x:v>0.5</x:v>
      </x:c>
      <x:c r="O167" s="26" t="n">
        <x:v>0.5</x:v>
      </x:c>
      <x:c r="P167" s="26" t="n">
        <x:f>J167*E167+K167*F167+L167*G167+M167*H167</x:f>
        <x:v>0.499462890625</x:v>
      </x:c>
      <x:c r="Q167" s="26" t="n">
        <x:f>J167*E167+K167*G167+L167*F167+M167*H167</x:f>
        <x:v>0.500439453125</x:v>
      </x:c>
      <x:c r="R167" s="26" t="n">
        <x:f>(P167+Q167)/2</x:f>
        <x:v>0.49995117187500004</x:v>
      </x:c>
      <x:c r="S167" s="26" t="n">
        <x:f>P167-Q167</x:f>
        <x:v>-0.0009765625000000555</x:v>
      </x:c>
      <x:c r="T167" s="26" t="n">
        <x:f>(P167-N167)^2+(Q167-O167)^2</x:f>
        <x:v>4.816055297852072e-7</x:v>
      </x:c>
    </x:row>
    <x:row r="168">
      <x:c r="A168" t="str">
        <x:v>B</x:v>
      </x:c>
      <x:c r="B168" t="n">
        <x:v>65</x:v>
      </x:c>
      <x:c r="C168" t="str">
        <x:v>Case 3a(i) (PD), pure</x:v>
      </x:c>
      <x:c r="D168" t="str">
        <x:v>pure</x:v>
      </x:c>
      <x:c r="E168" s="26" t="n">
        <x:v>0.75</x:v>
      </x:c>
      <x:c r="F168" s="26" t="n">
        <x:v>0</x:v>
      </x:c>
      <x:c r="G168" s="26" t="n">
        <x:v>1</x:v>
      </x:c>
      <x:c r="H168" s="26" t="n">
        <x:v>0.2</x:v>
      </x:c>
      <x:c r="I168" t="str">
        <x:v>pi/4</x:v>
      </x:c>
      <x:c r="J168" s="26" t="n">
        <x:f>Raw_pure!G68</x:f>
        <x:v>0.00390625</x:v>
      </x:c>
      <x:c r="K168" s="26" t="n">
        <x:f>Raw_pure!H68</x:f>
        <x:v>0.4921875</x:v>
      </x:c>
      <x:c r="L168" s="26" t="n">
        <x:f>Raw_pure!I68</x:f>
        <x:v>0.4990234375</x:v>
      </x:c>
      <x:c r="M168" s="26" t="n">
        <x:f>Raw_pure!J68</x:f>
        <x:v>0.0048828125</x:v>
      </x:c>
      <x:c r="N168" s="26" t="n">
        <x:v>0.5</x:v>
      </x:c>
      <x:c r="O168" s="26" t="n">
        <x:v>0.5</x:v>
      </x:c>
      <x:c r="P168" s="26" t="n">
        <x:f>J168*E168+K168*F168+L168*G168+M168*H168</x:f>
        <x:v>0.5029296875</x:v>
      </x:c>
      <x:c r="Q168" s="26" t="n">
        <x:f>J168*E168+K168*G168+L168*F168+M168*H168</x:f>
        <x:v>0.49609375</x:v>
      </x:c>
      <x:c r="R168" s="26" t="n">
        <x:f>(P168+Q168)/2</x:f>
        <x:v>0.49951171875</x:v>
      </x:c>
      <x:c r="S168" s="26" t="n">
        <x:f>P168-Q168</x:f>
        <x:v>0.0068359375</x:v>
      </x:c>
      <x:c r="T168" s="26" t="n">
        <x:f>(P168-N168)^2+(Q168-O168)^2</x:f>
        <x:v>0.00002384185791015625</x:v>
      </x:c>
    </x:row>
    <x:row r="169">
      <x:c r="A169" t="str">
        <x:v>B</x:v>
      </x:c>
      <x:c r="B169" t="n">
        <x:v>66</x:v>
      </x:c>
      <x:c r="C169" t="str">
        <x:v>Case 3a(i) (PD), pure</x:v>
      </x:c>
      <x:c r="D169" t="str">
        <x:v>pure</x:v>
      </x:c>
      <x:c r="E169" s="26" t="n">
        <x:v>0.75</x:v>
      </x:c>
      <x:c r="F169" s="26" t="n">
        <x:v>0</x:v>
      </x:c>
      <x:c r="G169" s="26" t="n">
        <x:v>1</x:v>
      </x:c>
      <x:c r="H169" s="26" t="n">
        <x:v>0.2</x:v>
      </x:c>
      <x:c r="I169" t="str">
        <x:v>pi/4</x:v>
      </x:c>
      <x:c r="J169" s="26" t="n">
        <x:f>Raw_pure!G69</x:f>
        <x:v>0.0087890625</x:v>
      </x:c>
      <x:c r="K169" s="26" t="n">
        <x:f>Raw_pure!H69</x:f>
        <x:v>0.50390625</x:v>
      </x:c>
      <x:c r="L169" s="26" t="n">
        <x:f>Raw_pure!I69</x:f>
        <x:v>0.4755859375</x:v>
      </x:c>
      <x:c r="M169" s="26" t="n">
        <x:f>Raw_pure!J69</x:f>
        <x:v>0.01171875</x:v>
      </x:c>
      <x:c r="N169" s="26" t="n">
        <x:v>0.5</x:v>
      </x:c>
      <x:c r="O169" s="26" t="n">
        <x:v>0.5</x:v>
      </x:c>
      <x:c r="P169" s="26" t="n">
        <x:f>J169*E169+K169*F169+L169*G169+M169*H169</x:f>
        <x:v>0.484521484375</x:v>
      </x:c>
      <x:c r="Q169" s="26" t="n">
        <x:f>J169*E169+K169*G169+L169*F169+M169*H169</x:f>
        <x:v>0.512841796875</x:v>
      </x:c>
      <x:c r="R169" s="26" t="n">
        <x:f>(P169+Q169)/2</x:f>
        <x:v>0.498681640625</x:v>
      </x:c>
      <x:c r="S169" s="26" t="n">
        <x:f>P169-Q169</x:f>
        <x:v>-0.0283203125</x:v>
      </x:c>
      <x:c r="T169" s="26" t="n">
        <x:f>(P169-N169)^2+(Q169-O169)^2</x:f>
        <x:v>0.000404496192932129</x:v>
      </x:c>
    </x:row>
    <x:row r="170">
      <x:c r="A170" t="str">
        <x:v>B</x:v>
      </x:c>
      <x:c r="B170" t="n">
        <x:v>67</x:v>
      </x:c>
      <x:c r="C170" t="str">
        <x:v>Case 3a(i) (PD), pure</x:v>
      </x:c>
      <x:c r="D170" t="str">
        <x:v>pure</x:v>
      </x:c>
      <x:c r="E170" s="26" t="n">
        <x:v>0.75</x:v>
      </x:c>
      <x:c r="F170" s="26" t="n">
        <x:v>0</x:v>
      </x:c>
      <x:c r="G170" s="26" t="n">
        <x:v>1</x:v>
      </x:c>
      <x:c r="H170" s="26" t="n">
        <x:v>0.2</x:v>
      </x:c>
      <x:c r="I170" t="str">
        <x:v>pi/4</x:v>
      </x:c>
      <x:c r="J170" s="26" t="n">
        <x:f>Raw_pure!G70</x:f>
        <x:v>0.0126953125</x:v>
      </x:c>
      <x:c r="K170" s="26" t="n">
        <x:f>Raw_pure!H70</x:f>
        <x:v>0.490234375</x:v>
      </x:c>
      <x:c r="L170" s="26" t="n">
        <x:f>Raw_pure!I70</x:f>
        <x:v>0.486328125</x:v>
      </x:c>
      <x:c r="M170" s="26" t="n">
        <x:f>Raw_pure!J70</x:f>
        <x:v>0.0107421875</x:v>
      </x:c>
      <x:c r="N170" s="26" t="n">
        <x:v>0.5</x:v>
      </x:c>
      <x:c r="O170" s="26" t="n">
        <x:v>0.5</x:v>
      </x:c>
      <x:c r="P170" s="26" t="n">
        <x:f>J170*E170+K170*F170+L170*G170+M170*H170</x:f>
        <x:v>0.497998046875</x:v>
      </x:c>
      <x:c r="Q170" s="26" t="n">
        <x:f>J170*E170+K170*G170+L170*F170+M170*H170</x:f>
        <x:v>0.501904296875</x:v>
      </x:c>
      <x:c r="R170" s="26" t="n">
        <x:f>(P170+Q170)/2</x:f>
        <x:v>0.49995117187500004</x:v>
      </x:c>
      <x:c r="S170" s="26" t="n">
        <x:f>P170-Q170</x:f>
        <x:v>-0.0039062500000000555</x:v>
      </x:c>
      <x:c r="T170" s="26" t="n">
        <x:f>(P170-N170)^2+(Q170-O170)^2</x:f>
        <x:v>0.000007634162902832245</x:v>
      </x:c>
    </x:row>
    <x:row r="171">
      <x:c r="A171" t="str">
        <x:v>B</x:v>
      </x:c>
      <x:c r="B171" t="n">
        <x:v>68</x:v>
      </x:c>
      <x:c r="C171" t="str">
        <x:v>Case 3a(i) (PD), pure</x:v>
      </x:c>
      <x:c r="D171" t="str">
        <x:v>pure</x:v>
      </x:c>
      <x:c r="E171" s="26" t="n">
        <x:v>0.75</x:v>
      </x:c>
      <x:c r="F171" s="26" t="n">
        <x:v>0</x:v>
      </x:c>
      <x:c r="G171" s="26" t="n">
        <x:v>1</x:v>
      </x:c>
      <x:c r="H171" s="26" t="n">
        <x:v>0.2</x:v>
      </x:c>
      <x:c r="I171" t="str">
        <x:v>pi/4</x:v>
      </x:c>
      <x:c r="J171" s="26" t="n">
        <x:f>Raw_pure!G71</x:f>
        <x:v>0.0078125</x:v>
      </x:c>
      <x:c r="K171" s="26" t="n">
        <x:f>Raw_pure!H71</x:f>
        <x:v>0.4814453125</x:v>
      </x:c>
      <x:c r="L171" s="26" t="n">
        <x:f>Raw_pure!I71</x:f>
        <x:v>0.5048828125</x:v>
      </x:c>
      <x:c r="M171" s="26" t="n">
        <x:f>Raw_pure!J71</x:f>
        <x:v>0.005859375</x:v>
      </x:c>
      <x:c r="N171" s="26" t="n">
        <x:v>0.5</x:v>
      </x:c>
      <x:c r="O171" s="26" t="n">
        <x:v>0.5</x:v>
      </x:c>
      <x:c r="P171" s="26" t="n">
        <x:f>J171*E171+K171*F171+L171*G171+M171*H171</x:f>
        <x:v>0.5119140625</x:v>
      </x:c>
      <x:c r="Q171" s="26" t="n">
        <x:f>J171*E171+K171*G171+L171*F171+M171*H171</x:f>
        <x:v>0.4884765625</x:v>
      </x:c>
      <x:c r="R171" s="26" t="n">
        <x:f>(P171+Q171)/2</x:f>
        <x:v>0.5001953125</x:v>
      </x:c>
      <x:c r="S171" s="26" t="n">
        <x:f>P171-Q171</x:f>
        <x:v>0.023437500000000056</x:v>
      </x:c>
      <x:c r="T171" s="26" t="n">
        <x:f>(P171-N171)^2+(Q171-O171)^2</x:f>
        <x:v>0.00027473449707031384</x:v>
      </x:c>
    </x:row>
    <x:row r="172">
      <x:c r="A172" t="str">
        <x:v>B</x:v>
      </x:c>
      <x:c r="B172" t="n">
        <x:v>69</x:v>
      </x:c>
      <x:c r="C172" t="str">
        <x:v>Case 3a(i) (PD), pure</x:v>
      </x:c>
      <x:c r="D172" t="str">
        <x:v>pure</x:v>
      </x:c>
      <x:c r="E172" s="26" t="n">
        <x:v>0.75</x:v>
      </x:c>
      <x:c r="F172" s="26" t="n">
        <x:v>0</x:v>
      </x:c>
      <x:c r="G172" s="26" t="n">
        <x:v>1</x:v>
      </x:c>
      <x:c r="H172" s="26" t="n">
        <x:v>0.2</x:v>
      </x:c>
      <x:c r="I172" t="str">
        <x:v>pi/4</x:v>
      </x:c>
      <x:c r="J172" s="26" t="n">
        <x:f>Raw_pure!G72</x:f>
        <x:v>0.0078125</x:v>
      </x:c>
      <x:c r="K172" s="26" t="n">
        <x:f>Raw_pure!H72</x:f>
        <x:v>0.5048828125</x:v>
      </x:c>
      <x:c r="L172" s="26" t="n">
        <x:f>Raw_pure!I72</x:f>
        <x:v>0.4794921875</x:v>
      </x:c>
      <x:c r="M172" s="26" t="n">
        <x:f>Raw_pure!J72</x:f>
        <x:v>0.0078125</x:v>
      </x:c>
      <x:c r="N172" s="26" t="n">
        <x:v>0.5</x:v>
      </x:c>
      <x:c r="O172" s="26" t="n">
        <x:v>0.5</x:v>
      </x:c>
      <x:c r="P172" s="26" t="n">
        <x:f>J172*E172+K172*F172+L172*G172+M172*H172</x:f>
        <x:v>0.4869140625</x:v>
      </x:c>
      <x:c r="Q172" s="26" t="n">
        <x:f>J172*E172+K172*G172+L172*F172+M172*H172</x:f>
        <x:v>0.5123046875</x:v>
      </x:c>
      <x:c r="R172" s="26" t="n">
        <x:f>(P172+Q172)/2</x:f>
        <x:v>0.499609375</x:v>
      </x:c>
      <x:c r="S172" s="26" t="n">
        <x:f>P172-Q172</x:f>
        <x:v>-0.025390625</x:v>
      </x:c>
      <x:c r="T172" s="26" t="n">
        <x:f>(P172-N172)^2+(Q172-O172)^2</x:f>
        <x:v>0.00032264709472656244</x:v>
      </x:c>
    </x:row>
    <x:row r="173">
      <x:c r="A173" t="str">
        <x:v>B</x:v>
      </x:c>
      <x:c r="B173" t="n">
        <x:v>70</x:v>
      </x:c>
      <x:c r="C173" t="str">
        <x:v>Case 3a(i) (PD), pure</x:v>
      </x:c>
      <x:c r="D173" t="str">
        <x:v>pure</x:v>
      </x:c>
      <x:c r="E173" s="26" t="n">
        <x:v>0.75</x:v>
      </x:c>
      <x:c r="F173" s="26" t="n">
        <x:v>0</x:v>
      </x:c>
      <x:c r="G173" s="26" t="n">
        <x:v>1</x:v>
      </x:c>
      <x:c r="H173" s="26" t="n">
        <x:v>0.2</x:v>
      </x:c>
      <x:c r="I173" t="str">
        <x:v>pi/4</x:v>
      </x:c>
      <x:c r="J173" s="26" t="n">
        <x:f>Raw_pure!G73</x:f>
        <x:v>0.0078125</x:v>
      </x:c>
      <x:c r="K173" s="26" t="n">
        <x:f>Raw_pure!H73</x:f>
        <x:v>0.494140625</x:v>
      </x:c>
      <x:c r="L173" s="26" t="n">
        <x:f>Raw_pure!I73</x:f>
        <x:v>0.4892578125</x:v>
      </x:c>
      <x:c r="M173" s="26" t="n">
        <x:f>Raw_pure!J73</x:f>
        <x:v>0.0087890625</x:v>
      </x:c>
      <x:c r="N173" s="26" t="n">
        <x:v>0.5</x:v>
      </x:c>
      <x:c r="O173" s="26" t="n">
        <x:v>0.5</x:v>
      </x:c>
      <x:c r="P173" s="26" t="n">
        <x:f>J173*E173+K173*F173+L173*G173+M173*H173</x:f>
        <x:v>0.496875</x:v>
      </x:c>
      <x:c r="Q173" s="26" t="n">
        <x:f>J173*E173+K173*G173+L173*F173+M173*H173</x:f>
        <x:v>0.5017578125</x:v>
      </x:c>
      <x:c r="R173" s="26" t="n">
        <x:f>(P173+Q173)/2</x:f>
        <x:v>0.49931640624999996</x:v>
      </x:c>
      <x:c r="S173" s="26" t="n">
        <x:f>P173-Q173</x:f>
        <x:v>-0.0048828124999999445</x:v>
      </x:c>
      <x:c r="T173" s="26" t="n">
        <x:f>(P173-N173)^2+(Q173-O173)^2</x:f>
        <x:v>0.000012855529785156025</x:v>
      </x:c>
    </x:row>
    <x:row r="174">
      <x:c r="A174" t="str">
        <x:v>B</x:v>
      </x:c>
      <x:c r="B174" t="n">
        <x:v>71</x:v>
      </x:c>
      <x:c r="C174" t="str">
        <x:v>Case 3a(i) (PD), pure</x:v>
      </x:c>
      <x:c r="D174" t="str">
        <x:v>pure</x:v>
      </x:c>
      <x:c r="E174" s="26" t="n">
        <x:v>0.75</x:v>
      </x:c>
      <x:c r="F174" s="26" t="n">
        <x:v>0</x:v>
      </x:c>
      <x:c r="G174" s="26" t="n">
        <x:v>1</x:v>
      </x:c>
      <x:c r="H174" s="26" t="n">
        <x:v>0.2</x:v>
      </x:c>
      <x:c r="I174" t="str">
        <x:v>pi/4</x:v>
      </x:c>
      <x:c r="J174" s="26" t="n">
        <x:f>Raw_pure!G74</x:f>
        <x:v>0.0078125</x:v>
      </x:c>
      <x:c r="K174" s="26" t="n">
        <x:f>Raw_pure!H74</x:f>
        <x:v>0.4736328125</x:v>
      </x:c>
      <x:c r="L174" s="26" t="n">
        <x:f>Raw_pure!I74</x:f>
        <x:v>0.5107421875</x:v>
      </x:c>
      <x:c r="M174" s="26" t="n">
        <x:f>Raw_pure!J74</x:f>
        <x:v>0.0078125</x:v>
      </x:c>
      <x:c r="N174" s="26" t="n">
        <x:v>0.5</x:v>
      </x:c>
      <x:c r="O174" s="26" t="n">
        <x:v>0.5</x:v>
      </x:c>
      <x:c r="P174" s="26" t="n">
        <x:f>J174*E174+K174*F174+L174*G174+M174*H174</x:f>
        <x:v>0.5181640625</x:v>
      </x:c>
      <x:c r="Q174" s="26" t="n">
        <x:f>J174*E174+K174*G174+L174*F174+M174*H174</x:f>
        <x:v>0.4810546875</x:v>
      </x:c>
      <x:c r="R174" s="26" t="n">
        <x:f>(P174+Q174)/2</x:f>
        <x:v>0.499609375</x:v>
      </x:c>
      <x:c r="S174" s="26" t="n">
        <x:f>P174-Q174</x:f>
        <x:v>0.037109375</x:v>
      </x:c>
      <x:c r="T174" s="26" t="n">
        <x:f>(P174-N174)^2+(Q174-O174)^2</x:f>
        <x:v>0.0006888580322265624</x:v>
      </x:c>
    </x:row>
    <x:row r="175">
      <x:c r="A175" t="str">
        <x:v>B</x:v>
      </x:c>
      <x:c r="B175" t="n">
        <x:v>72</x:v>
      </x:c>
      <x:c r="C175" t="str">
        <x:v>Case 3a(i) (PD), pure</x:v>
      </x:c>
      <x:c r="D175" t="str">
        <x:v>pure</x:v>
      </x:c>
      <x:c r="E175" s="26" t="n">
        <x:v>0.75</x:v>
      </x:c>
      <x:c r="F175" s="26" t="n">
        <x:v>0</x:v>
      </x:c>
      <x:c r="G175" s="26" t="n">
        <x:v>1</x:v>
      </x:c>
      <x:c r="H175" s="26" t="n">
        <x:v>0.2</x:v>
      </x:c>
      <x:c r="I175" t="str">
        <x:v>pi/4</x:v>
      </x:c>
      <x:c r="J175" s="26" t="n">
        <x:f>Raw_pure!G75</x:f>
        <x:v>0.0068359375</x:v>
      </x:c>
      <x:c r="K175" s="26" t="n">
        <x:f>Raw_pure!H75</x:f>
        <x:v>0.5087890625</x:v>
      </x:c>
      <x:c r="L175" s="26" t="n">
        <x:f>Raw_pure!I75</x:f>
        <x:v>0.47265625</x:v>
      </x:c>
      <x:c r="M175" s="26" t="n">
        <x:f>Raw_pure!J75</x:f>
        <x:v>0.01171875</x:v>
      </x:c>
      <x:c r="N175" s="26" t="n">
        <x:v>0.5</x:v>
      </x:c>
      <x:c r="O175" s="26" t="n">
        <x:v>0.5</x:v>
      </x:c>
      <x:c r="P175" s="26" t="n">
        <x:f>J175*E175+K175*F175+L175*G175+M175*H175</x:f>
        <x:v>0.480126953125</x:v>
      </x:c>
      <x:c r="Q175" s="26" t="n">
        <x:f>J175*E175+K175*G175+L175*F175+M175*H175</x:f>
        <x:v>0.516259765625</x:v>
      </x:c>
      <x:c r="R175" s="26" t="n">
        <x:f>(P175+Q175)/2</x:f>
        <x:v>0.498193359375</x:v>
      </x:c>
      <x:c r="S175" s="26" t="n">
        <x:f>P175-Q175</x:f>
        <x:v>-0.0361328125</x:v>
      </x:c>
      <x:c r="T175" s="26" t="n">
        <x:f>(P175-N175)^2+(Q175-O175)^2</x:f>
        <x:v>0.000659317970275879</x:v>
      </x:c>
    </x:row>
    <x:row r="176">
      <x:c r="A176" t="str">
        <x:v>B</x:v>
      </x:c>
      <x:c r="B176" t="n">
        <x:v>73</x:v>
      </x:c>
      <x:c r="C176" t="str">
        <x:v>Case 3a(i) (PD), pure</x:v>
      </x:c>
      <x:c r="D176" t="str">
        <x:v>pure</x:v>
      </x:c>
      <x:c r="E176" s="26" t="n">
        <x:v>0.75</x:v>
      </x:c>
      <x:c r="F176" s="26" t="n">
        <x:v>0</x:v>
      </x:c>
      <x:c r="G176" s="26" t="n">
        <x:v>1</x:v>
      </x:c>
      <x:c r="H176" s="26" t="n">
        <x:v>0.2</x:v>
      </x:c>
      <x:c r="I176" t="str">
        <x:v>pi/4</x:v>
      </x:c>
      <x:c r="J176" s="26" t="n">
        <x:f>Raw_pure!G76</x:f>
        <x:v>0.009765625</x:v>
      </x:c>
      <x:c r="K176" s="26" t="n">
        <x:f>Raw_pure!H76</x:f>
        <x:v>0.4736328125</x:v>
      </x:c>
      <x:c r="L176" s="26" t="n">
        <x:f>Raw_pure!I76</x:f>
        <x:v>0.509765625</x:v>
      </x:c>
      <x:c r="M176" s="26" t="n">
        <x:f>Raw_pure!J76</x:f>
        <x:v>0.0068359375</x:v>
      </x:c>
      <x:c r="N176" s="26" t="n">
        <x:v>0.5</x:v>
      </x:c>
      <x:c r="O176" s="26" t="n">
        <x:v>0.5</x:v>
      </x:c>
      <x:c r="P176" s="26" t="n">
        <x:f>J176*E176+K176*F176+L176*G176+M176*H176</x:f>
        <x:v>0.51845703125</x:v>
      </x:c>
      <x:c r="Q176" s="26" t="n">
        <x:f>J176*E176+K176*G176+L176*F176+M176*H176</x:f>
        <x:v>0.48232421875</x:v>
      </x:c>
      <x:c r="R176" s="26" t="n">
        <x:f>(P176+Q176)/2</x:f>
        <x:v>0.500390625</x:v>
      </x:c>
      <x:c r="S176" s="26" t="n">
        <x:f>P176-Q176</x:f>
        <x:v>0.0361328125</x:v>
      </x:c>
      <x:c r="T176" s="26" t="n">
        <x:f>(P176-N176)^2+(Q176-O176)^2</x:f>
        <x:v>0.0006530952453613281</x:v>
      </x:c>
    </x:row>
    <x:row r="177">
      <x:c r="A177" t="str">
        <x:v>B</x:v>
      </x:c>
      <x:c r="B177" t="n">
        <x:v>74</x:v>
      </x:c>
      <x:c r="C177" t="str">
        <x:v>Case 3a(i) (PD), pure</x:v>
      </x:c>
      <x:c r="D177" t="str">
        <x:v>pure</x:v>
      </x:c>
      <x:c r="E177" s="26" t="n">
        <x:v>0.75</x:v>
      </x:c>
      <x:c r="F177" s="26" t="n">
        <x:v>0</x:v>
      </x:c>
      <x:c r="G177" s="26" t="n">
        <x:v>1</x:v>
      </x:c>
      <x:c r="H177" s="26" t="n">
        <x:v>0.2</x:v>
      </x:c>
      <x:c r="I177" t="str">
        <x:v>pi/4</x:v>
      </x:c>
      <x:c r="J177" s="26" t="n">
        <x:f>Raw_pure!G77</x:f>
        <x:v>0.0029296875</x:v>
      </x:c>
      <x:c r="K177" s="26" t="n">
        <x:f>Raw_pure!H77</x:f>
        <x:v>0.4853515625</x:v>
      </x:c>
      <x:c r="L177" s="26" t="n">
        <x:f>Raw_pure!I77</x:f>
        <x:v>0.5009765625</x:v>
      </x:c>
      <x:c r="M177" s="26" t="n">
        <x:f>Raw_pure!J77</x:f>
        <x:v>0.0107421875</x:v>
      </x:c>
      <x:c r="N177" s="26" t="n">
        <x:v>0.5</x:v>
      </x:c>
      <x:c r="O177" s="26" t="n">
        <x:v>0.5</x:v>
      </x:c>
      <x:c r="P177" s="26" t="n">
        <x:f>J177*E177+K177*F177+L177*G177+M177*H177</x:f>
        <x:v>0.505322265625</x:v>
      </x:c>
      <x:c r="Q177" s="26" t="n">
        <x:f>J177*E177+K177*G177+L177*F177+M177*H177</x:f>
        <x:v>0.489697265625</x:v>
      </x:c>
      <x:c r="R177" s="26" t="n">
        <x:f>(P177+Q177)/2</x:f>
        <x:v>0.49750976562500004</x:v>
      </x:c>
      <x:c r="S177" s="26" t="n">
        <x:f>P177-Q177</x:f>
        <x:v>0.015625000000000056</x:v>
      </x:c>
      <x:c r="T177" s="26" t="n">
        <x:f>(P177-N177)^2+(Q177-O177)^2</x:f>
        <x:v>0.00013447284698486398</x:v>
      </x:c>
    </x:row>
    <x:row r="178">
      <x:c r="A178" t="str">
        <x:v>B</x:v>
      </x:c>
      <x:c r="B178" t="n">
        <x:v>75</x:v>
      </x:c>
      <x:c r="C178" t="str">
        <x:v>Case 3a(i) (PD), pure</x:v>
      </x:c>
      <x:c r="D178" t="str">
        <x:v>pure</x:v>
      </x:c>
      <x:c r="E178" s="26" t="n">
        <x:v>0.75</x:v>
      </x:c>
      <x:c r="F178" s="26" t="n">
        <x:v>0</x:v>
      </x:c>
      <x:c r="G178" s="26" t="n">
        <x:v>1</x:v>
      </x:c>
      <x:c r="H178" s="26" t="n">
        <x:v>0.2</x:v>
      </x:c>
      <x:c r="I178" t="str">
        <x:v>pi/4</x:v>
      </x:c>
      <x:c r="J178" s="26" t="n">
        <x:f>Raw_pure!G78</x:f>
        <x:v>0.013671875</x:v>
      </x:c>
      <x:c r="K178" s="26" t="n">
        <x:f>Raw_pure!H78</x:f>
        <x:v>0.5048828125</x:v>
      </x:c>
      <x:c r="L178" s="26" t="n">
        <x:f>Raw_pure!I78</x:f>
        <x:v>0.474609375</x:v>
      </x:c>
      <x:c r="M178" s="26" t="n">
        <x:f>Raw_pure!J78</x:f>
        <x:v>0.0068359375</x:v>
      </x:c>
      <x:c r="N178" s="26" t="n">
        <x:v>0.5</x:v>
      </x:c>
      <x:c r="O178" s="26" t="n">
        <x:v>0.5</x:v>
      </x:c>
      <x:c r="P178" s="26" t="n">
        <x:f>J178*E178+K178*F178+L178*G178+M178*H178</x:f>
        <x:v>0.48623046875</x:v>
      </x:c>
      <x:c r="Q178" s="26" t="n">
        <x:f>J178*E178+K178*G178+L178*F178+M178*H178</x:f>
        <x:v>0.51650390625</x:v>
      </x:c>
      <x:c r="R178" s="26" t="n">
        <x:f>(P178+Q178)/2</x:f>
        <x:v>0.5013671875</x:v>
      </x:c>
      <x:c r="S178" s="26" t="n">
        <x:f>P178-Q178</x:f>
        <x:v>-0.0302734375</x:v>
      </x:c>
      <x:c r="T178" s="26" t="n">
        <x:f>(P178-N178)^2+(Q178-O178)^2</x:f>
        <x:v>0.0004619789123535155</x:v>
      </x:c>
    </x:row>
    <x:row r="179">
      <x:c r="A179" t="str">
        <x:v>B</x:v>
      </x:c>
      <x:c r="B179" t="n">
        <x:v>76</x:v>
      </x:c>
      <x:c r="C179" t="str">
        <x:v>Case 3a(i) (PD), pure</x:v>
      </x:c>
      <x:c r="D179" t="str">
        <x:v>pure</x:v>
      </x:c>
      <x:c r="E179" s="26" t="n">
        <x:v>0.75</x:v>
      </x:c>
      <x:c r="F179" s="26" t="n">
        <x:v>0</x:v>
      </x:c>
      <x:c r="G179" s="26" t="n">
        <x:v>1</x:v>
      </x:c>
      <x:c r="H179" s="26" t="n">
        <x:v>0.2</x:v>
      </x:c>
      <x:c r="I179" t="str">
        <x:v>pi/4</x:v>
      </x:c>
      <x:c r="J179" s="26" t="n">
        <x:f>Raw_pure!G79</x:f>
        <x:v>0.009765625</x:v>
      </x:c>
      <x:c r="K179" s="26" t="n">
        <x:f>Raw_pure!H79</x:f>
        <x:v>0.498046875</x:v>
      </x:c>
      <x:c r="L179" s="26" t="n">
        <x:f>Raw_pure!I79</x:f>
        <x:v>0.48046875</x:v>
      </x:c>
      <x:c r="M179" s="26" t="n">
        <x:f>Raw_pure!J79</x:f>
        <x:v>0.01171875</x:v>
      </x:c>
      <x:c r="N179" s="26" t="n">
        <x:v>0.5</x:v>
      </x:c>
      <x:c r="O179" s="26" t="n">
        <x:v>0.5</x:v>
      </x:c>
      <x:c r="P179" s="26" t="n">
        <x:f>J179*E179+K179*F179+L179*G179+M179*H179</x:f>
        <x:v>0.49013671875</x:v>
      </x:c>
      <x:c r="Q179" s="26" t="n">
        <x:f>J179*E179+K179*G179+L179*F179+M179*H179</x:f>
        <x:v>0.50771484375</x:v>
      </x:c>
      <x:c r="R179" s="26" t="n">
        <x:f>(P179+Q179)/2</x:f>
        <x:v>0.49892578125</x:v>
      </x:c>
      <x:c r="S179" s="26" t="n">
        <x:f>P179-Q179</x:f>
        <x:v>-0.017578125</x:v>
      </x:c>
      <x:c r="T179" s="26" t="n">
        <x:f>(P179-N179)^2+(Q179-O179)^2</x:f>
        <x:v>0.00015680313110351572</x:v>
      </x:c>
    </x:row>
    <x:row r="180">
      <x:c r="A180" t="str">
        <x:v>B</x:v>
      </x:c>
      <x:c r="B180" t="n">
        <x:v>77</x:v>
      </x:c>
      <x:c r="C180" t="str">
        <x:v>Case 3a(i) (PD), pure</x:v>
      </x:c>
      <x:c r="D180" t="str">
        <x:v>pure</x:v>
      </x:c>
      <x:c r="E180" s="26" t="n">
        <x:v>0.75</x:v>
      </x:c>
      <x:c r="F180" s="26" t="n">
        <x:v>0</x:v>
      </x:c>
      <x:c r="G180" s="26" t="n">
        <x:v>1</x:v>
      </x:c>
      <x:c r="H180" s="26" t="n">
        <x:v>0.2</x:v>
      </x:c>
      <x:c r="I180" t="str">
        <x:v>pi/4</x:v>
      </x:c>
      <x:c r="J180" s="26" t="n">
        <x:f>Raw_pure!G80</x:f>
        <x:v>0.0078125</x:v>
      </x:c>
      <x:c r="K180" s="26" t="n">
        <x:f>Raw_pure!H80</x:f>
        <x:v>0.51171875</x:v>
      </x:c>
      <x:c r="L180" s="26" t="n">
        <x:f>Raw_pure!I80</x:f>
        <x:v>0.474609375</x:v>
      </x:c>
      <x:c r="M180" s="26" t="n">
        <x:f>Raw_pure!J80</x:f>
        <x:v>0.005859375</x:v>
      </x:c>
      <x:c r="N180" s="26" t="n">
        <x:v>0.5</x:v>
      </x:c>
      <x:c r="O180" s="26" t="n">
        <x:v>0.5</x:v>
      </x:c>
      <x:c r="P180" s="26" t="n">
        <x:f>J180*E180+K180*F180+L180*G180+M180*H180</x:f>
        <x:v>0.481640625</x:v>
      </x:c>
      <x:c r="Q180" s="26" t="n">
        <x:f>J180*E180+K180*G180+L180*F180+M180*H180</x:f>
        <x:v>0.51875</x:v>
      </x:c>
      <x:c r="R180" s="26" t="n">
        <x:f>(P180+Q180)/2</x:f>
        <x:v>0.5001953125</x:v>
      </x:c>
      <x:c r="S180" s="26" t="n">
        <x:f>P180-Q180</x:f>
        <x:v>-0.037109375000000056</x:v>
      </x:c>
      <x:c r="T180" s="26" t="n">
        <x:f>(P180-N180)^2+(Q180-O180)^2</x:f>
        <x:v>0.0006886291503906271</x:v>
      </x:c>
    </x:row>
    <x:row r="181">
      <x:c r="A181" t="str">
        <x:v>B</x:v>
      </x:c>
      <x:c r="B181" t="n">
        <x:v>78</x:v>
      </x:c>
      <x:c r="C181" t="str">
        <x:v>Case 3a(i) (PD), pure</x:v>
      </x:c>
      <x:c r="D181" t="str">
        <x:v>pure</x:v>
      </x:c>
      <x:c r="E181" s="26" t="n">
        <x:v>0.75</x:v>
      </x:c>
      <x:c r="F181" s="26" t="n">
        <x:v>0</x:v>
      </x:c>
      <x:c r="G181" s="26" t="n">
        <x:v>1</x:v>
      </x:c>
      <x:c r="H181" s="26" t="n">
        <x:v>0.2</x:v>
      </x:c>
      <x:c r="I181" t="str">
        <x:v>pi/4</x:v>
      </x:c>
      <x:c r="J181" s="26" t="n">
        <x:f>Raw_pure!G81</x:f>
        <x:v>0.0107421875</x:v>
      </x:c>
      <x:c r="K181" s="26" t="n">
        <x:f>Raw_pure!H81</x:f>
        <x:v>0.4853515625</x:v>
      </x:c>
      <x:c r="L181" s="26" t="n">
        <x:f>Raw_pure!I81</x:f>
        <x:v>0.494140625</x:v>
      </x:c>
      <x:c r="M181" s="26" t="n">
        <x:f>Raw_pure!J81</x:f>
        <x:v>0.009765625</x:v>
      </x:c>
      <x:c r="N181" s="26" t="n">
        <x:v>0.5</x:v>
      </x:c>
      <x:c r="O181" s="26" t="n">
        <x:v>0.5</x:v>
      </x:c>
      <x:c r="P181" s="26" t="n">
        <x:f>J181*E181+K181*F181+L181*G181+M181*H181</x:f>
        <x:v>0.504150390625</x:v>
      </x:c>
      <x:c r="Q181" s="26" t="n">
        <x:f>J181*E181+K181*G181+L181*F181+M181*H181</x:f>
        <x:v>0.495361328125</x:v>
      </x:c>
      <x:c r="R181" s="26" t="n">
        <x:f>(P181+Q181)/2</x:f>
        <x:v>0.499755859375</x:v>
      </x:c>
      <x:c r="S181" s="26" t="n">
        <x:f>P181-Q181</x:f>
        <x:v>0.0087890625</x:v>
      </x:c>
      <x:c r="T181" s="26" t="n">
        <x:f>(P181-N181)^2+(Q181-O181)^2</x:f>
        <x:v>0.000038743019104003906</x:v>
      </x:c>
    </x:row>
    <x:row r="182">
      <x:c r="A182" t="str">
        <x:v>B</x:v>
      </x:c>
      <x:c r="B182" t="n">
        <x:v>79</x:v>
      </x:c>
      <x:c r="C182" t="str">
        <x:v>Case 3a(i) (PD), pure</x:v>
      </x:c>
      <x:c r="D182" t="str">
        <x:v>pure</x:v>
      </x:c>
      <x:c r="E182" s="26" t="n">
        <x:v>0.75</x:v>
      </x:c>
      <x:c r="F182" s="26" t="n">
        <x:v>0</x:v>
      </x:c>
      <x:c r="G182" s="26" t="n">
        <x:v>1</x:v>
      </x:c>
      <x:c r="H182" s="26" t="n">
        <x:v>0.2</x:v>
      </x:c>
      <x:c r="I182" t="str">
        <x:v>pi/4</x:v>
      </x:c>
      <x:c r="J182" s="26" t="n">
        <x:f>Raw_pure!G82</x:f>
        <x:v>0.0087890625</x:v>
      </x:c>
      <x:c r="K182" s="26" t="n">
        <x:f>Raw_pure!H82</x:f>
        <x:v>0.5107421875</x:v>
      </x:c>
      <x:c r="L182" s="26" t="n">
        <x:f>Raw_pure!I82</x:f>
        <x:v>0.47265625</x:v>
      </x:c>
      <x:c r="M182" s="26" t="n">
        <x:f>Raw_pure!J82</x:f>
        <x:v>0.0078125</x:v>
      </x:c>
      <x:c r="N182" s="26" t="n">
        <x:v>0.5</x:v>
      </x:c>
      <x:c r="O182" s="26" t="n">
        <x:v>0.5</x:v>
      </x:c>
      <x:c r="P182" s="26" t="n">
        <x:f>J182*E182+K182*F182+L182*G182+M182*H182</x:f>
        <x:v>0.480810546875</x:v>
      </x:c>
      <x:c r="Q182" s="26" t="n">
        <x:f>J182*E182+K182*G182+L182*F182+M182*H182</x:f>
        <x:v>0.518896484375</x:v>
      </x:c>
      <x:c r="R182" s="26" t="n">
        <x:f>(P182+Q182)/2</x:f>
        <x:v>0.499853515625</x:v>
      </x:c>
      <x:c r="S182" s="26" t="n">
        <x:f>P182-Q182</x:f>
        <x:v>-0.0380859375</x:v>
      </x:c>
      <x:c r="T182" s="26" t="n">
        <x:f>(P182-N182)^2+(Q182-O182)^2</x:f>
        <x:v>0.0007253122329711914</x:v>
      </x:c>
    </x:row>
    <x:row r="183">
      <x:c r="A183" t="str">
        <x:v>B</x:v>
      </x:c>
      <x:c r="B183" t="n">
        <x:v>80</x:v>
      </x:c>
      <x:c r="C183" t="str">
        <x:v>Case 3a(i) (PD), pure</x:v>
      </x:c>
      <x:c r="D183" t="str">
        <x:v>pure</x:v>
      </x:c>
      <x:c r="E183" s="26" t="n">
        <x:v>0.75</x:v>
      </x:c>
      <x:c r="F183" s="26" t="n">
        <x:v>0</x:v>
      </x:c>
      <x:c r="G183" s="26" t="n">
        <x:v>1</x:v>
      </x:c>
      <x:c r="H183" s="26" t="n">
        <x:v>0.2</x:v>
      </x:c>
      <x:c r="I183" t="str">
        <x:v>pi/4</x:v>
      </x:c>
      <x:c r="J183" s="26" t="n">
        <x:f>Raw_pure!G83</x:f>
        <x:v>0.00390625</x:v>
      </x:c>
      <x:c r="K183" s="26" t="n">
        <x:f>Raw_pure!H83</x:f>
        <x:v>0.5126953125</x:v>
      </x:c>
      <x:c r="L183" s="26" t="n">
        <x:f>Raw_pure!I83</x:f>
        <x:v>0.4755859375</x:v>
      </x:c>
      <x:c r="M183" s="26" t="n">
        <x:f>Raw_pure!J83</x:f>
        <x:v>0.0078125</x:v>
      </x:c>
      <x:c r="N183" s="26" t="n">
        <x:v>0.5</x:v>
      </x:c>
      <x:c r="O183" s="26" t="n">
        <x:v>0.5</x:v>
      </x:c>
      <x:c r="P183" s="26" t="n">
        <x:f>J183*E183+K183*F183+L183*G183+M183*H183</x:f>
        <x:v>0.480078125</x:v>
      </x:c>
      <x:c r="Q183" s="26" t="n">
        <x:f>J183*E183+K183*G183+L183*F183+M183*H183</x:f>
        <x:v>0.5171875</x:v>
      </x:c>
      <x:c r="R183" s="26" t="n">
        <x:f>(P183+Q183)/2</x:f>
        <x:v>0.4986328125</x:v>
      </x:c>
      <x:c r="S183" s="26" t="n">
        <x:f>P183-Q183</x:f>
        <x:v>-0.037109375</x:v>
      </x:c>
      <x:c r="T183" s="26" t="n">
        <x:f>(P183-N183)^2+(Q183-O183)^2</x:f>
        <x:v>0.0006922912597656249</x:v>
      </x:c>
    </x:row>
    <x:row r="184">
      <x:c r="A184" t="str">
        <x:v>B</x:v>
      </x:c>
      <x:c r="B184" t="n">
        <x:v>81</x:v>
      </x:c>
      <x:c r="C184" t="str">
        <x:v>Case 3a(i) (PD), pure</x:v>
      </x:c>
      <x:c r="D184" t="str">
        <x:v>pure</x:v>
      </x:c>
      <x:c r="E184" s="26" t="n">
        <x:v>0.75</x:v>
      </x:c>
      <x:c r="F184" s="26" t="n">
        <x:v>0</x:v>
      </x:c>
      <x:c r="G184" s="26" t="n">
        <x:v>1</x:v>
      </x:c>
      <x:c r="H184" s="26" t="n">
        <x:v>0.2</x:v>
      </x:c>
      <x:c r="I184" t="str">
        <x:v>pi/4</x:v>
      </x:c>
      <x:c r="J184" s="26" t="n">
        <x:f>Raw_pure!G84</x:f>
        <x:v>0.0048828125</x:v>
      </x:c>
      <x:c r="K184" s="26" t="n">
        <x:f>Raw_pure!H84</x:f>
        <x:v>0.490234375</x:v>
      </x:c>
      <x:c r="L184" s="26" t="n">
        <x:f>Raw_pure!I84</x:f>
        <x:v>0.4970703125</x:v>
      </x:c>
      <x:c r="M184" s="26" t="n">
        <x:f>Raw_pure!J84</x:f>
        <x:v>0.0078125</x:v>
      </x:c>
      <x:c r="N184" s="26" t="n">
        <x:v>0.5</x:v>
      </x:c>
      <x:c r="O184" s="26" t="n">
        <x:v>0.5</x:v>
      </x:c>
      <x:c r="P184" s="26" t="n">
        <x:f>J184*E184+K184*F184+L184*G184+M184*H184</x:f>
        <x:v>0.502294921875</x:v>
      </x:c>
      <x:c r="Q184" s="26" t="n">
        <x:f>J184*E184+K184*G184+L184*F184+M184*H184</x:f>
        <x:v>0.495458984375</x:v>
      </x:c>
      <x:c r="R184" s="26" t="n">
        <x:f>(P184+Q184)/2</x:f>
        <x:v>0.498876953125</x:v>
      </x:c>
      <x:c r="S184" s="26" t="n">
        <x:f>P184-Q184</x:f>
        <x:v>0.0068359375</x:v>
      </x:c>
      <x:c r="T184" s="26" t="n">
        <x:f>(P184-N184)^2+(Q184-O184)^2</x:f>
        <x:v>0.000025887489318847558</x:v>
      </x:c>
    </x:row>
    <x:row r="185">
      <x:c r="A185" t="str">
        <x:v>B</x:v>
      </x:c>
      <x:c r="B185" t="n">
        <x:v>82</x:v>
      </x:c>
      <x:c r="C185" t="str">
        <x:v>Case 3a(i) (PD), pure</x:v>
      </x:c>
      <x:c r="D185" t="str">
        <x:v>pure</x:v>
      </x:c>
      <x:c r="E185" s="26" t="n">
        <x:v>0.75</x:v>
      </x:c>
      <x:c r="F185" s="26" t="n">
        <x:v>0</x:v>
      </x:c>
      <x:c r="G185" s="26" t="n">
        <x:v>1</x:v>
      </x:c>
      <x:c r="H185" s="26" t="n">
        <x:v>0.2</x:v>
      </x:c>
      <x:c r="I185" t="str">
        <x:v>pi/4</x:v>
      </x:c>
      <x:c r="J185" s="26" t="n">
        <x:f>Raw_pure!G85</x:f>
        <x:v>0.0126953125</x:v>
      </x:c>
      <x:c r="K185" s="26" t="n">
        <x:f>Raw_pure!H85</x:f>
        <x:v>0.4716796875</x:v>
      </x:c>
      <x:c r="L185" s="26" t="n">
        <x:f>Raw_pure!I85</x:f>
        <x:v>0.5087890625</x:v>
      </x:c>
      <x:c r="M185" s="26" t="n">
        <x:f>Raw_pure!J85</x:f>
        <x:v>0.0068359375</x:v>
      </x:c>
      <x:c r="N185" s="26" t="n">
        <x:v>0.5</x:v>
      </x:c>
      <x:c r="O185" s="26" t="n">
        <x:v>0.5</x:v>
      </x:c>
      <x:c r="P185" s="26" t="n">
        <x:f>J185*E185+K185*F185+L185*G185+M185*H185</x:f>
        <x:v>0.519677734375</x:v>
      </x:c>
      <x:c r="Q185" s="26" t="n">
        <x:f>J185*E185+K185*G185+L185*F185+M185*H185</x:f>
        <x:v>0.482568359375</x:v>
      </x:c>
      <x:c r="R185" s="26" t="n">
        <x:f>(P185+Q185)/2</x:f>
        <x:v>0.501123046875</x:v>
      </x:c>
      <x:c r="S185" s="26" t="n">
        <x:f>P185-Q185</x:f>
        <x:v>0.037109375</x:v>
      </x:c>
      <x:c r="T185" s="26" t="n">
        <x:f>(P185-N185)^2+(Q185-O185)^2</x:f>
        <x:v>0.0006910753250122069</x:v>
      </x:c>
    </x:row>
    <x:row r="186">
      <x:c r="A186" t="str">
        <x:v>B</x:v>
      </x:c>
      <x:c r="B186" t="n">
        <x:v>83</x:v>
      </x:c>
      <x:c r="C186" t="str">
        <x:v>Case 3a(i) (PD), pure</x:v>
      </x:c>
      <x:c r="D186" t="str">
        <x:v>pure</x:v>
      </x:c>
      <x:c r="E186" s="26" t="n">
        <x:v>0.75</x:v>
      </x:c>
      <x:c r="F186" s="26" t="n">
        <x:v>0</x:v>
      </x:c>
      <x:c r="G186" s="26" t="n">
        <x:v>1</x:v>
      </x:c>
      <x:c r="H186" s="26" t="n">
        <x:v>0.2</x:v>
      </x:c>
      <x:c r="I186" t="str">
        <x:v>pi/4</x:v>
      </x:c>
      <x:c r="J186" s="26" t="n">
        <x:f>Raw_pure!G86</x:f>
        <x:v>0.0078125</x:v>
      </x:c>
      <x:c r="K186" s="26" t="n">
        <x:f>Raw_pure!H86</x:f>
        <x:v>0.486328125</x:v>
      </x:c>
      <x:c r="L186" s="26" t="n">
        <x:f>Raw_pure!I86</x:f>
        <x:v>0.5009765625</x:v>
      </x:c>
      <x:c r="M186" s="26" t="n">
        <x:f>Raw_pure!J86</x:f>
        <x:v>0.0048828125</x:v>
      </x:c>
      <x:c r="N186" s="26" t="n">
        <x:v>0.5</x:v>
      </x:c>
      <x:c r="O186" s="26" t="n">
        <x:v>0.5</x:v>
      </x:c>
      <x:c r="P186" s="26" t="n">
        <x:f>J186*E186+K186*F186+L186*G186+M186*H186</x:f>
        <x:v>0.5078125</x:v>
      </x:c>
      <x:c r="Q186" s="26" t="n">
        <x:f>J186*E186+K186*G186+L186*F186+M186*H186</x:f>
        <x:v>0.4931640625</x:v>
      </x:c>
      <x:c r="R186" s="26" t="n">
        <x:f>(P186+Q186)/2</x:f>
        <x:v>0.50048828125</x:v>
      </x:c>
      <x:c r="S186" s="26" t="n">
        <x:f>P186-Q186</x:f>
        <x:v>0.0146484375</x:v>
      </x:c>
      <x:c r="T186" s="26" t="n">
        <x:f>(P186-N186)^2+(Q186-O186)^2</x:f>
        <x:v>0.00010776519775390625</x:v>
      </x:c>
    </x:row>
    <x:row r="187">
      <x:c r="A187" t="str">
        <x:v>B</x:v>
      </x:c>
      <x:c r="B187" t="n">
        <x:v>84</x:v>
      </x:c>
      <x:c r="C187" t="str">
        <x:v>Case 3a(i) (PD), pure</x:v>
      </x:c>
      <x:c r="D187" t="str">
        <x:v>pure</x:v>
      </x:c>
      <x:c r="E187" s="26" t="n">
        <x:v>0.75</x:v>
      </x:c>
      <x:c r="F187" s="26" t="n">
        <x:v>0</x:v>
      </x:c>
      <x:c r="G187" s="26" t="n">
        <x:v>1</x:v>
      </x:c>
      <x:c r="H187" s="26" t="n">
        <x:v>0.2</x:v>
      </x:c>
      <x:c r="I187" t="str">
        <x:v>pi/4</x:v>
      </x:c>
      <x:c r="J187" s="26" t="n">
        <x:f>Raw_pure!G87</x:f>
        <x:v>0.005859375</x:v>
      </x:c>
      <x:c r="K187" s="26" t="n">
        <x:f>Raw_pure!H87</x:f>
        <x:v>0.4951171875</x:v>
      </x:c>
      <x:c r="L187" s="26" t="n">
        <x:f>Raw_pure!I87</x:f>
        <x:v>0.48828125</x:v>
      </x:c>
      <x:c r="M187" s="26" t="n">
        <x:f>Raw_pure!J87</x:f>
        <x:v>0.0107421875</x:v>
      </x:c>
      <x:c r="N187" s="26" t="n">
        <x:v>0.5</x:v>
      </x:c>
      <x:c r="O187" s="26" t="n">
        <x:v>0.5</x:v>
      </x:c>
      <x:c r="P187" s="26" t="n">
        <x:f>J187*E187+K187*F187+L187*G187+M187*H187</x:f>
        <x:v>0.49482421875</x:v>
      </x:c>
      <x:c r="Q187" s="26" t="n">
        <x:f>J187*E187+K187*G187+L187*F187+M187*H187</x:f>
        <x:v>0.50166015625</x:v>
      </x:c>
      <x:c r="R187" s="26" t="n">
        <x:f>(P187+Q187)/2</x:f>
        <x:v>0.49824218750000004</x:v>
      </x:c>
      <x:c r="S187" s="26" t="n">
        <x:f>P187-Q187</x:f>
        <x:v>-0.0068359375000000555</x:v>
      </x:c>
      <x:c r="T187" s="26" t="n">
        <x:f>(P187-N187)^2+(Q187-O187)^2</x:f>
        <x:v>0.000029544830322265886</x:v>
      </x:c>
    </x:row>
    <x:row r="188">
      <x:c r="A188" t="str">
        <x:v>B</x:v>
      </x:c>
      <x:c r="B188" t="n">
        <x:v>85</x:v>
      </x:c>
      <x:c r="C188" t="str">
        <x:v>Case 3a(i) (PD), pure</x:v>
      </x:c>
      <x:c r="D188" t="str">
        <x:v>pure</x:v>
      </x:c>
      <x:c r="E188" s="26" t="n">
        <x:v>0.75</x:v>
      </x:c>
      <x:c r="F188" s="26" t="n">
        <x:v>0</x:v>
      </x:c>
      <x:c r="G188" s="26" t="n">
        <x:v>1</x:v>
      </x:c>
      <x:c r="H188" s="26" t="n">
        <x:v>0.2</x:v>
      </x:c>
      <x:c r="I188" t="str">
        <x:v>pi/4</x:v>
      </x:c>
      <x:c r="J188" s="26" t="n">
        <x:f>Raw_pure!G88</x:f>
        <x:v>0.0087890625</x:v>
      </x:c>
      <x:c r="K188" s="26" t="n">
        <x:f>Raw_pure!H88</x:f>
        <x:v>0.5107421875</x:v>
      </x:c>
      <x:c r="L188" s="26" t="n">
        <x:f>Raw_pure!I88</x:f>
        <x:v>0.4736328125</x:v>
      </x:c>
      <x:c r="M188" s="26" t="n">
        <x:f>Raw_pure!J88</x:f>
        <x:v>0.0068359375</x:v>
      </x:c>
      <x:c r="N188" s="26" t="n">
        <x:v>0.5</x:v>
      </x:c>
      <x:c r="O188" s="26" t="n">
        <x:v>0.5</x:v>
      </x:c>
      <x:c r="P188" s="26" t="n">
        <x:f>J188*E188+K188*F188+L188*G188+M188*H188</x:f>
        <x:v>0.481591796875</x:v>
      </x:c>
      <x:c r="Q188" s="26" t="n">
        <x:f>J188*E188+K188*G188+L188*F188+M188*H188</x:f>
        <x:v>0.518701171875</x:v>
      </x:c>
      <x:c r="R188" s="26" t="n">
        <x:f>(P188+Q188)/2</x:f>
        <x:v>0.500146484375</x:v>
      </x:c>
      <x:c r="S188" s="26" t="n">
        <x:f>P188-Q188</x:f>
        <x:v>-0.037109375</x:v>
      </x:c>
      <x:c r="T188" s="26" t="n">
        <x:f>(P188-N188)^2+(Q188-O188)^2</x:f>
        <x:v>0.0006885957717895507</x:v>
      </x:c>
    </x:row>
    <x:row r="189">
      <x:c r="A189" t="str">
        <x:v>B</x:v>
      </x:c>
      <x:c r="B189" t="n">
        <x:v>86</x:v>
      </x:c>
      <x:c r="C189" t="str">
        <x:v>Case 3a(i) (PD), pure</x:v>
      </x:c>
      <x:c r="D189" t="str">
        <x:v>pure</x:v>
      </x:c>
      <x:c r="E189" s="26" t="n">
        <x:v>0.75</x:v>
      </x:c>
      <x:c r="F189" s="26" t="n">
        <x:v>0</x:v>
      </x:c>
      <x:c r="G189" s="26" t="n">
        <x:v>1</x:v>
      </x:c>
      <x:c r="H189" s="26" t="n">
        <x:v>0.2</x:v>
      </x:c>
      <x:c r="I189" t="str">
        <x:v>pi/4</x:v>
      </x:c>
      <x:c r="J189" s="26" t="n">
        <x:f>Raw_pure!G89</x:f>
        <x:v>0.0068359375</x:v>
      </x:c>
      <x:c r="K189" s="26" t="n">
        <x:f>Raw_pure!H89</x:f>
        <x:v>0.4853515625</x:v>
      </x:c>
      <x:c r="L189" s="26" t="n">
        <x:f>Raw_pure!I89</x:f>
        <x:v>0.498046875</x:v>
      </x:c>
      <x:c r="M189" s="26" t="n">
        <x:f>Raw_pure!J89</x:f>
        <x:v>0.009765625</x:v>
      </x:c>
      <x:c r="N189" s="26" t="n">
        <x:v>0.5</x:v>
      </x:c>
      <x:c r="O189" s="26" t="n">
        <x:v>0.5</x:v>
      </x:c>
      <x:c r="P189" s="26" t="n">
        <x:f>J189*E189+K189*F189+L189*G189+M189*H189</x:f>
        <x:v>0.505126953125</x:v>
      </x:c>
      <x:c r="Q189" s="26" t="n">
        <x:f>J189*E189+K189*G189+L189*F189+M189*H189</x:f>
        <x:v>0.492431640625</x:v>
      </x:c>
      <x:c r="R189" s="26" t="n">
        <x:f>(P189+Q189)/2</x:f>
        <x:v>0.498779296875</x:v>
      </x:c>
      <x:c r="S189" s="26" t="n">
        <x:f>P189-Q189</x:f>
        <x:v>0.0126953125</x:v>
      </x:c>
      <x:c r="T189" s="26" t="n">
        <x:f>(P189-N189)^2+(Q189-O189)^2</x:f>
        <x:v>0.00008356571197509766</x:v>
      </x:c>
    </x:row>
    <x:row r="190">
      <x:c r="A190" t="str">
        <x:v>B</x:v>
      </x:c>
      <x:c r="B190" t="n">
        <x:v>87</x:v>
      </x:c>
      <x:c r="C190" t="str">
        <x:v>Case 3a(i) (PD), pure</x:v>
      </x:c>
      <x:c r="D190" t="str">
        <x:v>pure</x:v>
      </x:c>
      <x:c r="E190" s="26" t="n">
        <x:v>0.75</x:v>
      </x:c>
      <x:c r="F190" s="26" t="n">
        <x:v>0</x:v>
      </x:c>
      <x:c r="G190" s="26" t="n">
        <x:v>1</x:v>
      </x:c>
      <x:c r="H190" s="26" t="n">
        <x:v>0.2</x:v>
      </x:c>
      <x:c r="I190" t="str">
        <x:v>pi/4</x:v>
      </x:c>
      <x:c r="J190" s="26" t="n">
        <x:f>Raw_pure!G90</x:f>
        <x:v>0.0078125</x:v>
      </x:c>
      <x:c r="K190" s="26" t="n">
        <x:f>Raw_pure!H90</x:f>
        <x:v>0.5048828125</x:v>
      </x:c>
      <x:c r="L190" s="26" t="n">
        <x:f>Raw_pure!I90</x:f>
        <x:v>0.478515625</x:v>
      </x:c>
      <x:c r="M190" s="26" t="n">
        <x:f>Raw_pure!J90</x:f>
        <x:v>0.0087890625</x:v>
      </x:c>
      <x:c r="N190" s="26" t="n">
        <x:v>0.5</x:v>
      </x:c>
      <x:c r="O190" s="26" t="n">
        <x:v>0.5</x:v>
      </x:c>
      <x:c r="P190" s="26" t="n">
        <x:f>J190*E190+K190*F190+L190*G190+M190*H190</x:f>
        <x:v>0.4861328125</x:v>
      </x:c>
      <x:c r="Q190" s="26" t="n">
        <x:f>J190*E190+K190*G190+L190*F190+M190*H190</x:f>
        <x:v>0.5125</x:v>
      </x:c>
      <x:c r="R190" s="26" t="n">
        <x:f>(P190+Q190)/2</x:f>
        <x:v>0.49931640624999996</x:v>
      </x:c>
      <x:c r="S190" s="26" t="n">
        <x:f>P190-Q190</x:f>
        <x:v>-0.026367187499999944</x:v>
      </x:c>
      <x:c r="T190" s="26" t="n">
        <x:f>(P190-N190)^2+(Q190-O190)^2</x:f>
        <x:v>0.00034854888916015486</x:v>
      </x:c>
    </x:row>
    <x:row r="191">
      <x:c r="A191" t="str">
        <x:v>B</x:v>
      </x:c>
      <x:c r="B191" t="n">
        <x:v>88</x:v>
      </x:c>
      <x:c r="C191" t="str">
        <x:v>Case 3a(i) (PD), pure</x:v>
      </x:c>
      <x:c r="D191" t="str">
        <x:v>pure</x:v>
      </x:c>
      <x:c r="E191" s="26" t="n">
        <x:v>0.75</x:v>
      </x:c>
      <x:c r="F191" s="26" t="n">
        <x:v>0</x:v>
      </x:c>
      <x:c r="G191" s="26" t="n">
        <x:v>1</x:v>
      </x:c>
      <x:c r="H191" s="26" t="n">
        <x:v>0.2</x:v>
      </x:c>
      <x:c r="I191" t="str">
        <x:v>pi/4</x:v>
      </x:c>
      <x:c r="J191" s="26" t="n">
        <x:f>Raw_pure!G91</x:f>
        <x:v>0.0068359375</x:v>
      </x:c>
      <x:c r="K191" s="26" t="n">
        <x:f>Raw_pure!H91</x:f>
        <x:v>0.5</x:v>
      </x:c>
      <x:c r="L191" s="26" t="n">
        <x:f>Raw_pure!I91</x:f>
        <x:v>0.48046875</x:v>
      </x:c>
      <x:c r="M191" s="26" t="n">
        <x:f>Raw_pure!J91</x:f>
        <x:v>0.0126953125</x:v>
      </x:c>
      <x:c r="N191" s="26" t="n">
        <x:v>0.5</x:v>
      </x:c>
      <x:c r="O191" s="26" t="n">
        <x:v>0.5</x:v>
      </x:c>
      <x:c r="P191" s="26" t="n">
        <x:f>J191*E191+K191*F191+L191*G191+M191*H191</x:f>
        <x:v>0.488134765625</x:v>
      </x:c>
      <x:c r="Q191" s="26" t="n">
        <x:f>J191*E191+K191*G191+L191*F191+M191*H191</x:f>
        <x:v>0.507666015625</x:v>
      </x:c>
      <x:c r="R191" s="26" t="n">
        <x:f>(P191+Q191)/2</x:f>
        <x:v>0.497900390625</x:v>
      </x:c>
      <x:c r="S191" s="26" t="n">
        <x:f>P191-Q191</x:f>
        <x:v>-0.01953125</x:v>
      </x:c>
      <x:c r="T191" s="26" t="n">
        <x:f>(P191-N191)^2+(Q191-O191)^2</x:f>
        <x:v>0.00019955158233642557</x:v>
      </x:c>
    </x:row>
    <x:row r="192">
      <x:c r="A192" t="str">
        <x:v>B</x:v>
      </x:c>
      <x:c r="B192" t="n">
        <x:v>89</x:v>
      </x:c>
      <x:c r="C192" t="str">
        <x:v>Case 3a(i) (PD), pure</x:v>
      </x:c>
      <x:c r="D192" t="str">
        <x:v>pure</x:v>
      </x:c>
      <x:c r="E192" s="26" t="n">
        <x:v>0.75</x:v>
      </x:c>
      <x:c r="F192" s="26" t="n">
        <x:v>0</x:v>
      </x:c>
      <x:c r="G192" s="26" t="n">
        <x:v>1</x:v>
      </x:c>
      <x:c r="H192" s="26" t="n">
        <x:v>0.2</x:v>
      </x:c>
      <x:c r="I192" t="str">
        <x:v>pi/4</x:v>
      </x:c>
      <x:c r="J192" s="26" t="n">
        <x:f>Raw_pure!G92</x:f>
        <x:v>0.0048828125</x:v>
      </x:c>
      <x:c r="K192" s="26" t="n">
        <x:f>Raw_pure!H92</x:f>
        <x:v>0.5126953125</x:v>
      </x:c>
      <x:c r="L192" s="26" t="n">
        <x:f>Raw_pure!I92</x:f>
        <x:v>0.4736328125</x:v>
      </x:c>
      <x:c r="M192" s="26" t="n">
        <x:f>Raw_pure!J92</x:f>
        <x:v>0.0087890625</x:v>
      </x:c>
      <x:c r="N192" s="26" t="n">
        <x:v>0.5</x:v>
      </x:c>
      <x:c r="O192" s="26" t="n">
        <x:v>0.5</x:v>
      </x:c>
      <x:c r="P192" s="26" t="n">
        <x:f>J192*E192+K192*F192+L192*G192+M192*H192</x:f>
        <x:v>0.479052734375</x:v>
      </x:c>
      <x:c r="Q192" s="26" t="n">
        <x:f>J192*E192+K192*G192+L192*F192+M192*H192</x:f>
        <x:v>0.518115234375</x:v>
      </x:c>
      <x:c r="R192" s="26" t="n">
        <x:f>(P192+Q192)/2</x:f>
        <x:v>0.49858398437499996</x:v>
      </x:c>
      <x:c r="S192" s="26" t="n">
        <x:f>P192-Q192</x:f>
        <x:v>-0.039062499999999944</x:v>
      </x:c>
      <x:c r="T192" s="26" t="n">
        <x:f>(P192-N192)^2+(Q192-O192)^2</x:f>
        <x:v>0.0007669496536254863</x:v>
      </x:c>
    </x:row>
    <x:row r="193">
      <x:c r="A193" t="str">
        <x:v>B</x:v>
      </x:c>
      <x:c r="B193" t="n">
        <x:v>90</x:v>
      </x:c>
      <x:c r="C193" t="str">
        <x:v>Case 3a(i) (PD), pure</x:v>
      </x:c>
      <x:c r="D193" t="str">
        <x:v>pure</x:v>
      </x:c>
      <x:c r="E193" s="26" t="n">
        <x:v>0.75</x:v>
      </x:c>
      <x:c r="F193" s="26" t="n">
        <x:v>0</x:v>
      </x:c>
      <x:c r="G193" s="26" t="n">
        <x:v>1</x:v>
      </x:c>
      <x:c r="H193" s="26" t="n">
        <x:v>0.2</x:v>
      </x:c>
      <x:c r="I193" t="str">
        <x:v>pi/4</x:v>
      </x:c>
      <x:c r="J193" s="26" t="n">
        <x:f>Raw_pure!G93</x:f>
        <x:v>0.009765625</x:v>
      </x:c>
      <x:c r="K193" s="26" t="n">
        <x:f>Raw_pure!H93</x:f>
        <x:v>0.4755859375</x:v>
      </x:c>
      <x:c r="L193" s="26" t="n">
        <x:f>Raw_pure!I93</x:f>
        <x:v>0.5078125</x:v>
      </x:c>
      <x:c r="M193" s="26" t="n">
        <x:f>Raw_pure!J93</x:f>
        <x:v>0.0068359375</x:v>
      </x:c>
      <x:c r="N193" s="26" t="n">
        <x:v>0.5</x:v>
      </x:c>
      <x:c r="O193" s="26" t="n">
        <x:v>0.5</x:v>
      </x:c>
      <x:c r="P193" s="26" t="n">
        <x:f>J193*E193+K193*F193+L193*G193+M193*H193</x:f>
        <x:v>0.51650390625</x:v>
      </x:c>
      <x:c r="Q193" s="26" t="n">
        <x:f>J193*E193+K193*G193+L193*F193+M193*H193</x:f>
        <x:v>0.48427734375</x:v>
      </x:c>
      <x:c r="R193" s="26" t="n">
        <x:f>(P193+Q193)/2</x:f>
        <x:v>0.500390625</x:v>
      </x:c>
      <x:c r="S193" s="26" t="n">
        <x:f>P193-Q193</x:f>
        <x:v>0.0322265625</x:v>
      </x:c>
      <x:c r="T193" s="26" t="n">
        <x:f>(P193-N193)^2+(Q193-O193)^2</x:f>
        <x:v>0.0005195808410644531</x:v>
      </x:c>
    </x:row>
    <x:row r="194">
      <x:c r="A194" t="str">
        <x:v>B</x:v>
      </x:c>
      <x:c r="B194" t="n">
        <x:v>91</x:v>
      </x:c>
      <x:c r="C194" t="str">
        <x:v>Case 3a(i) (PD), pure</x:v>
      </x:c>
      <x:c r="D194" t="str">
        <x:v>pure</x:v>
      </x:c>
      <x:c r="E194" s="26" t="n">
        <x:v>0.75</x:v>
      </x:c>
      <x:c r="F194" s="26" t="n">
        <x:v>0</x:v>
      </x:c>
      <x:c r="G194" s="26" t="n">
        <x:v>1</x:v>
      </x:c>
      <x:c r="H194" s="26" t="n">
        <x:v>0.2</x:v>
      </x:c>
      <x:c r="I194" t="str">
        <x:v>pi/4</x:v>
      </x:c>
      <x:c r="J194" s="26" t="n">
        <x:f>Raw_pure!G94</x:f>
        <x:v>0.0126953125</x:v>
      </x:c>
      <x:c r="K194" s="26" t="n">
        <x:f>Raw_pure!H94</x:f>
        <x:v>0.4970703125</x:v>
      </x:c>
      <x:c r="L194" s="26" t="n">
        <x:f>Raw_pure!I94</x:f>
        <x:v>0.484375</x:v>
      </x:c>
      <x:c r="M194" s="26" t="n">
        <x:f>Raw_pure!J94</x:f>
        <x:v>0.005859375</x:v>
      </x:c>
      <x:c r="N194" s="26" t="n">
        <x:v>0.5</x:v>
      </x:c>
      <x:c r="O194" s="26" t="n">
        <x:v>0.5</x:v>
      </x:c>
      <x:c r="P194" s="26" t="n">
        <x:f>J194*E194+K194*F194+L194*G194+M194*H194</x:f>
        <x:v>0.495068359375</x:v>
      </x:c>
      <x:c r="Q194" s="26" t="n">
        <x:f>J194*E194+K194*G194+L194*F194+M194*H194</x:f>
        <x:v>0.507763671875</x:v>
      </x:c>
      <x:c r="R194" s="26" t="n">
        <x:f>(P194+Q194)/2</x:f>
        <x:v>0.501416015625</x:v>
      </x:c>
      <x:c r="S194" s="26" t="n">
        <x:f>P194-Q194</x:f>
        <x:v>-0.012695312500000056</x:v>
      </x:c>
      <x:c r="T194" s="26" t="n">
        <x:f>(P194-N194)^2+(Q194-O194)^2</x:f>
        <x:v>0.0000845956802368172</x:v>
      </x:c>
    </x:row>
    <x:row r="195">
      <x:c r="A195" t="str">
        <x:v>B</x:v>
      </x:c>
      <x:c r="B195" t="n">
        <x:v>92</x:v>
      </x:c>
      <x:c r="C195" t="str">
        <x:v>Case 3a(i) (PD), pure</x:v>
      </x:c>
      <x:c r="D195" t="str">
        <x:v>pure</x:v>
      </x:c>
      <x:c r="E195" s="26" t="n">
        <x:v>0.75</x:v>
      </x:c>
      <x:c r="F195" s="26" t="n">
        <x:v>0</x:v>
      </x:c>
      <x:c r="G195" s="26" t="n">
        <x:v>1</x:v>
      </x:c>
      <x:c r="H195" s="26" t="n">
        <x:v>0.2</x:v>
      </x:c>
      <x:c r="I195" t="str">
        <x:v>pi/4</x:v>
      </x:c>
      <x:c r="J195" s="26" t="n">
        <x:f>Raw_pure!G95</x:f>
        <x:v>0.0087890625</x:v>
      </x:c>
      <x:c r="K195" s="26" t="n">
        <x:f>Raw_pure!H95</x:f>
        <x:v>0.4560546875</x:v>
      </x:c>
      <x:c r="L195" s="26" t="n">
        <x:f>Raw_pure!I95</x:f>
        <x:v>0.5283203125</x:v>
      </x:c>
      <x:c r="M195" s="26" t="n">
        <x:f>Raw_pure!J95</x:f>
        <x:v>0.0068359375</x:v>
      </x:c>
      <x:c r="N195" s="26" t="n">
        <x:v>0.5</x:v>
      </x:c>
      <x:c r="O195" s="26" t="n">
        <x:v>0.5</x:v>
      </x:c>
      <x:c r="P195" s="26" t="n">
        <x:f>J195*E195+K195*F195+L195*G195+M195*H195</x:f>
        <x:v>0.536279296875</x:v>
      </x:c>
      <x:c r="Q195" s="26" t="n">
        <x:f>J195*E195+K195*G195+L195*F195+M195*H195</x:f>
        <x:v>0.464013671875</x:v>
      </x:c>
      <x:c r="R195" s="26" t="n">
        <x:f>(P195+Q195)/2</x:f>
        <x:v>0.500146484375</x:v>
      </x:c>
      <x:c r="S195" s="26" t="n">
        <x:f>P195-Q195</x:f>
        <x:v>0.072265625</x:v>
      </x:c>
      <x:c r="T195" s="26" t="n">
        <x:f>(P195-N195)^2+(Q195-O195)^2</x:f>
        <x:v>0.002611203193664551</x:v>
      </x:c>
    </x:row>
    <x:row r="196">
      <x:c r="A196" t="str">
        <x:v>B</x:v>
      </x:c>
      <x:c r="B196" t="n">
        <x:v>93</x:v>
      </x:c>
      <x:c r="C196" t="str">
        <x:v>Case 3a(i) (PD), pure</x:v>
      </x:c>
      <x:c r="D196" t="str">
        <x:v>pure</x:v>
      </x:c>
      <x:c r="E196" s="26" t="n">
        <x:v>0.75</x:v>
      </x:c>
      <x:c r="F196" s="26" t="n">
        <x:v>0</x:v>
      </x:c>
      <x:c r="G196" s="26" t="n">
        <x:v>1</x:v>
      </x:c>
      <x:c r="H196" s="26" t="n">
        <x:v>0.2</x:v>
      </x:c>
      <x:c r="I196" t="str">
        <x:v>pi/4</x:v>
      </x:c>
      <x:c r="J196" s="26" t="n">
        <x:f>Raw_pure!G96</x:f>
        <x:v>0.0068359375</x:v>
      </x:c>
      <x:c r="K196" s="26" t="n">
        <x:f>Raw_pure!H96</x:f>
        <x:v>0.4921875</x:v>
      </x:c>
      <x:c r="L196" s="26" t="n">
        <x:f>Raw_pure!I96</x:f>
        <x:v>0.48828125</x:v>
      </x:c>
      <x:c r="M196" s="26" t="n">
        <x:f>Raw_pure!J96</x:f>
        <x:v>0.0126953125</x:v>
      </x:c>
      <x:c r="N196" s="26" t="n">
        <x:v>0.5</x:v>
      </x:c>
      <x:c r="O196" s="26" t="n">
        <x:v>0.5</x:v>
      </x:c>
      <x:c r="P196" s="26" t="n">
        <x:f>J196*E196+K196*F196+L196*G196+M196*H196</x:f>
        <x:v>0.495947265625</x:v>
      </x:c>
      <x:c r="Q196" s="26" t="n">
        <x:f>J196*E196+K196*G196+L196*F196+M196*H196</x:f>
        <x:v>0.499853515625</x:v>
      </x:c>
      <x:c r="R196" s="26" t="n">
        <x:f>(P196+Q196)/2</x:f>
        <x:v>0.497900390625</x:v>
      </x:c>
      <x:c r="S196" s="26" t="n">
        <x:f>P196-Q196</x:f>
        <x:v>-0.00390625</x:v>
      </x:c>
      <x:c r="T196" s="26" t="n">
        <x:f>(P196-N196)^2+(Q196-O196)^2</x:f>
        <x:v>0.000016446113586425596</x:v>
      </x:c>
    </x:row>
    <x:row r="197">
      <x:c r="A197" t="str">
        <x:v>B</x:v>
      </x:c>
      <x:c r="B197" t="n">
        <x:v>94</x:v>
      </x:c>
      <x:c r="C197" t="str">
        <x:v>Case 3a(i) (PD), pure</x:v>
      </x:c>
      <x:c r="D197" t="str">
        <x:v>pure</x:v>
      </x:c>
      <x:c r="E197" s="26" t="n">
        <x:v>0.75</x:v>
      </x:c>
      <x:c r="F197" s="26" t="n">
        <x:v>0</x:v>
      </x:c>
      <x:c r="G197" s="26" t="n">
        <x:v>1</x:v>
      </x:c>
      <x:c r="H197" s="26" t="n">
        <x:v>0.2</x:v>
      </x:c>
      <x:c r="I197" t="str">
        <x:v>pi/4</x:v>
      </x:c>
      <x:c r="J197" s="26" t="n">
        <x:f>Raw_pure!G97</x:f>
        <x:v>0.0107421875</x:v>
      </x:c>
      <x:c r="K197" s="26" t="n">
        <x:f>Raw_pure!H97</x:f>
        <x:v>0.46875</x:v>
      </x:c>
      <x:c r="L197" s="26" t="n">
        <x:f>Raw_pure!I97</x:f>
        <x:v>0.51171875</x:v>
      </x:c>
      <x:c r="M197" s="26" t="n">
        <x:f>Raw_pure!J97</x:f>
        <x:v>0.0087890625</x:v>
      </x:c>
      <x:c r="N197" s="26" t="n">
        <x:v>0.5</x:v>
      </x:c>
      <x:c r="O197" s="26" t="n">
        <x:v>0.5</x:v>
      </x:c>
      <x:c r="P197" s="26" t="n">
        <x:f>J197*E197+K197*F197+L197*G197+M197*H197</x:f>
        <x:v>0.521533203125</x:v>
      </x:c>
      <x:c r="Q197" s="26" t="n">
        <x:f>J197*E197+K197*G197+L197*F197+M197*H197</x:f>
        <x:v>0.478564453125</x:v>
      </x:c>
      <x:c r="R197" s="26" t="n">
        <x:f>(P197+Q197)/2</x:f>
        <x:v>0.500048828125</x:v>
      </x:c>
      <x:c r="S197" s="26" t="n">
        <x:f>P197-Q197</x:f>
        <x:v>0.042968749999999944</x:v>
      </x:c>
      <x:c r="T197" s="26" t="n">
        <x:f>(P197-N197)^2+(Q197-O197)^2</x:f>
        <x:v>0.0009231615066528296</x:v>
      </x:c>
    </x:row>
    <x:row r="198">
      <x:c r="A198" t="str">
        <x:v>B</x:v>
      </x:c>
      <x:c r="B198" t="n">
        <x:v>95</x:v>
      </x:c>
      <x:c r="C198" t="str">
        <x:v>Case 3a(i) (PD), pure</x:v>
      </x:c>
      <x:c r="D198" t="str">
        <x:v>pure</x:v>
      </x:c>
      <x:c r="E198" s="26" t="n">
        <x:v>0.75</x:v>
      </x:c>
      <x:c r="F198" s="26" t="n">
        <x:v>0</x:v>
      </x:c>
      <x:c r="G198" s="26" t="n">
        <x:v>1</x:v>
      </x:c>
      <x:c r="H198" s="26" t="n">
        <x:v>0.2</x:v>
      </x:c>
      <x:c r="I198" t="str">
        <x:v>pi/4</x:v>
      </x:c>
      <x:c r="J198" s="26" t="n">
        <x:f>Raw_pure!G98</x:f>
        <x:v>0.005859375</x:v>
      </x:c>
      <x:c r="K198" s="26" t="n">
        <x:f>Raw_pure!H98</x:f>
        <x:v>0.4775390625</x:v>
      </x:c>
      <x:c r="L198" s="26" t="n">
        <x:f>Raw_pure!I98</x:f>
        <x:v>0.5107421875</x:v>
      </x:c>
      <x:c r="M198" s="26" t="n">
        <x:f>Raw_pure!J98</x:f>
        <x:v>0.005859375</x:v>
      </x:c>
      <x:c r="N198" s="26" t="n">
        <x:v>0.5</x:v>
      </x:c>
      <x:c r="O198" s="26" t="n">
        <x:v>0.5</x:v>
      </x:c>
      <x:c r="P198" s="26" t="n">
        <x:f>J198*E198+K198*F198+L198*G198+M198*H198</x:f>
        <x:v>0.51630859375</x:v>
      </x:c>
      <x:c r="Q198" s="26" t="n">
        <x:f>J198*E198+K198*G198+L198*F198+M198*H198</x:f>
        <x:v>0.48310546875</x:v>
      </x:c>
      <x:c r="R198" s="26" t="n">
        <x:f>(P198+Q198)/2</x:f>
        <x:v>0.49970703125000004</x:v>
      </x:c>
      <x:c r="S198" s="26" t="n">
        <x:f>P198-Q198</x:f>
        <x:v>0.033203125000000056</x:v>
      </x:c>
      <x:c r="T198" s="26" t="n">
        <x:f>(P198-N198)^2+(Q198-O198)^2</x:f>
        <x:v>0.0005513954162597674</x:v>
      </x:c>
    </x:row>
    <x:row r="199">
      <x:c r="A199" t="str">
        <x:v>B</x:v>
      </x:c>
      <x:c r="B199" t="n">
        <x:v>96</x:v>
      </x:c>
      <x:c r="C199" t="str">
        <x:v>Case 3a(i) (PD), pure</x:v>
      </x:c>
      <x:c r="D199" t="str">
        <x:v>pure</x:v>
      </x:c>
      <x:c r="E199" s="26" t="n">
        <x:v>0.75</x:v>
      </x:c>
      <x:c r="F199" s="26" t="n">
        <x:v>0</x:v>
      </x:c>
      <x:c r="G199" s="26" t="n">
        <x:v>1</x:v>
      </x:c>
      <x:c r="H199" s="26" t="n">
        <x:v>0.2</x:v>
      </x:c>
      <x:c r="I199" t="str">
        <x:v>pi/4</x:v>
      </x:c>
      <x:c r="J199" s="26" t="n">
        <x:f>Raw_pure!G99</x:f>
        <x:v>0.0048828125</x:v>
      </x:c>
      <x:c r="K199" s="26" t="n">
        <x:f>Raw_pure!H99</x:f>
        <x:v>0.4736328125</x:v>
      </x:c>
      <x:c r="L199" s="26" t="n">
        <x:f>Raw_pure!I99</x:f>
        <x:v>0.515625</x:v>
      </x:c>
      <x:c r="M199" s="26" t="n">
        <x:f>Raw_pure!J99</x:f>
        <x:v>0.005859375</x:v>
      </x:c>
      <x:c r="N199" s="26" t="n">
        <x:v>0.5</x:v>
      </x:c>
      <x:c r="O199" s="26" t="n">
        <x:v>0.5</x:v>
      </x:c>
      <x:c r="P199" s="26" t="n">
        <x:f>J199*E199+K199*F199+L199*G199+M199*H199</x:f>
        <x:v>0.520458984375</x:v>
      </x:c>
      <x:c r="Q199" s="26" t="n">
        <x:f>J199*E199+K199*G199+L199*F199+M199*H199</x:f>
        <x:v>0.478466796875</x:v>
      </x:c>
      <x:c r="R199" s="26" t="n">
        <x:f>(P199+Q199)/2</x:f>
        <x:v>0.49946289062500004</x:v>
      </x:c>
      <x:c r="S199" s="26" t="n">
        <x:f>P199-Q199</x:f>
        <x:v>0.041992187500000056</x:v>
      </x:c>
      <x:c r="T199" s="26" t="n">
        <x:f>(P199-N199)^2+(Q199-O199)^2</x:f>
        <x:v>0.0008822488784790062</x:v>
      </x:c>
    </x:row>
    <x:row r="200">
      <x:c r="A200" t="str">
        <x:v>B</x:v>
      </x:c>
      <x:c r="B200" t="n">
        <x:v>97</x:v>
      </x:c>
      <x:c r="C200" t="str">
        <x:v>Case 3a(i) (PD), pure</x:v>
      </x:c>
      <x:c r="D200" t="str">
        <x:v>pure</x:v>
      </x:c>
      <x:c r="E200" s="26" t="n">
        <x:v>0.75</x:v>
      </x:c>
      <x:c r="F200" s="26" t="n">
        <x:v>0</x:v>
      </x:c>
      <x:c r="G200" s="26" t="n">
        <x:v>1</x:v>
      </x:c>
      <x:c r="H200" s="26" t="n">
        <x:v>0.2</x:v>
      </x:c>
      <x:c r="I200" t="str">
        <x:v>pi/4</x:v>
      </x:c>
      <x:c r="J200" s="26" t="n">
        <x:f>Raw_pure!G100</x:f>
        <x:v>0.009765625</x:v>
      </x:c>
      <x:c r="K200" s="26" t="n">
        <x:f>Raw_pure!H100</x:f>
        <x:v>0.513671875</x:v>
      </x:c>
      <x:c r="L200" s="26" t="n">
        <x:f>Raw_pure!I100</x:f>
        <x:v>0.4658203125</x:v>
      </x:c>
      <x:c r="M200" s="26" t="n">
        <x:f>Raw_pure!J100</x:f>
        <x:v>0.0107421875</x:v>
      </x:c>
      <x:c r="N200" s="26" t="n">
        <x:v>0.5</x:v>
      </x:c>
      <x:c r="O200" s="26" t="n">
        <x:v>0.5</x:v>
      </x:c>
      <x:c r="P200" s="26" t="n">
        <x:f>J200*E200+K200*F200+L200*G200+M200*H200</x:f>
        <x:v>0.47529296875</x:v>
      </x:c>
      <x:c r="Q200" s="26" t="n">
        <x:f>J200*E200+K200*G200+L200*F200+M200*H200</x:f>
        <x:v>0.52314453125</x:v>
      </x:c>
      <x:c r="R200" s="26" t="n">
        <x:f>(P200+Q200)/2</x:f>
        <x:v>0.49921875000000004</x:v>
      </x:c>
      <x:c r="S200" s="26" t="n">
        <x:f>P200-Q200</x:f>
        <x:v>-0.047851562500000056</x:v>
      </x:c>
      <x:c r="T200" s="26" t="n">
        <x:f>(P200-N200)^2+(Q200-O200)^2</x:f>
        <x:v>0.0011461067199707057</x:v>
      </x:c>
    </x:row>
    <x:row r="201">
      <x:c r="A201" t="str">
        <x:v>B</x:v>
      </x:c>
      <x:c r="B201" t="n">
        <x:v>98</x:v>
      </x:c>
      <x:c r="C201" t="str">
        <x:v>Case 3a(i) (PD), pure</x:v>
      </x:c>
      <x:c r="D201" t="str">
        <x:v>pure</x:v>
      </x:c>
      <x:c r="E201" s="26" t="n">
        <x:v>0.75</x:v>
      </x:c>
      <x:c r="F201" s="26" t="n">
        <x:v>0</x:v>
      </x:c>
      <x:c r="G201" s="26" t="n">
        <x:v>1</x:v>
      </x:c>
      <x:c r="H201" s="26" t="n">
        <x:v>0.2</x:v>
      </x:c>
      <x:c r="I201" t="str">
        <x:v>pi/4</x:v>
      </x:c>
      <x:c r="J201" s="26" t="n">
        <x:f>Raw_pure!G101</x:f>
        <x:v>0.009765625</x:v>
      </x:c>
      <x:c r="K201" s="26" t="n">
        <x:f>Raw_pure!H101</x:f>
        <x:v>0.50390625</x:v>
      </x:c>
      <x:c r="L201" s="26" t="n">
        <x:f>Raw_pure!I101</x:f>
        <x:v>0.4765625</x:v>
      </x:c>
      <x:c r="M201" s="26" t="n">
        <x:f>Raw_pure!J101</x:f>
        <x:v>0.009765625</x:v>
      </x:c>
      <x:c r="N201" s="26" t="n">
        <x:v>0.5</x:v>
      </x:c>
      <x:c r="O201" s="26" t="n">
        <x:v>0.5</x:v>
      </x:c>
      <x:c r="P201" s="26" t="n">
        <x:f>J201*E201+K201*F201+L201*G201+M201*H201</x:f>
        <x:v>0.48583984375</x:v>
      </x:c>
      <x:c r="Q201" s="26" t="n">
        <x:f>J201*E201+K201*G201+L201*F201+M201*H201</x:f>
        <x:v>0.51318359375</x:v>
      </x:c>
      <x:c r="R201" s="26" t="n">
        <x:f>(P201+Q201)/2</x:f>
        <x:v>0.49951171875</x:v>
      </x:c>
      <x:c r="S201" s="26" t="n">
        <x:f>P201-Q201</x:f>
        <x:v>-0.02734375</x:v>
      </x:c>
      <x:c r="T201" s="26" t="n">
        <x:f>(P201-N201)^2+(Q201-O201)^2</x:f>
        <x:v>0.0003743171691894531</x:v>
      </x:c>
    </x:row>
    <x:row r="202">
      <x:c r="A202" t="str">
        <x:v>B</x:v>
      </x:c>
      <x:c r="B202" t="n">
        <x:v>99</x:v>
      </x:c>
      <x:c r="C202" t="str">
        <x:v>Case 3a(i) (PD), pure</x:v>
      </x:c>
      <x:c r="D202" t="str">
        <x:v>pure</x:v>
      </x:c>
      <x:c r="E202" s="26" t="n">
        <x:v>0.75</x:v>
      </x:c>
      <x:c r="F202" s="26" t="n">
        <x:v>0</x:v>
      </x:c>
      <x:c r="G202" s="26" t="n">
        <x:v>1</x:v>
      </x:c>
      <x:c r="H202" s="26" t="n">
        <x:v>0.2</x:v>
      </x:c>
      <x:c r="I202" t="str">
        <x:v>pi/4</x:v>
      </x:c>
      <x:c r="J202" s="26" t="n">
        <x:f>Raw_pure!G102</x:f>
        <x:v>0.0087890625</x:v>
      </x:c>
      <x:c r="K202" s="26" t="n">
        <x:f>Raw_pure!H102</x:f>
        <x:v>0.5107421875</x:v>
      </x:c>
      <x:c r="L202" s="26" t="n">
        <x:f>Raw_pure!I102</x:f>
        <x:v>0.4775390625</x:v>
      </x:c>
      <x:c r="M202" s="26" t="n">
        <x:f>Raw_pure!J102</x:f>
        <x:v>0.0029296875</x:v>
      </x:c>
      <x:c r="N202" s="26" t="n">
        <x:v>0.5</x:v>
      </x:c>
      <x:c r="O202" s="26" t="n">
        <x:v>0.5</x:v>
      </x:c>
      <x:c r="P202" s="26" t="n">
        <x:f>J202*E202+K202*F202+L202*G202+M202*H202</x:f>
        <x:v>0.484716796875</x:v>
      </x:c>
      <x:c r="Q202" s="26" t="n">
        <x:f>J202*E202+K202*G202+L202*F202+M202*H202</x:f>
        <x:v>0.517919921875</x:v>
      </x:c>
      <x:c r="R202" s="26" t="n">
        <x:f>(P202+Q202)/2</x:f>
        <x:v>0.501318359375</x:v>
      </x:c>
      <x:c r="S202" s="26" t="n">
        <x:f>P202-Q202</x:f>
        <x:v>-0.033203125</x:v>
      </x:c>
      <x:c r="T202" s="26" t="n">
        <x:f>(P202-N202)^2+(Q202-O202)^2</x:f>
        <x:v>0.0005546998977661134</x:v>
      </x:c>
    </x:row>
    <x:row r="203">
      <x:c r="A203" t="str">
        <x:v>B</x:v>
      </x:c>
      <x:c r="B203" t="n">
        <x:v>100</x:v>
      </x:c>
      <x:c r="C203" t="str">
        <x:v>Case 3a(i) (PD), pure</x:v>
      </x:c>
      <x:c r="D203" t="str">
        <x:v>pure</x:v>
      </x:c>
      <x:c r="E203" s="26" t="n">
        <x:v>0.75</x:v>
      </x:c>
      <x:c r="F203" s="26" t="n">
        <x:v>0</x:v>
      </x:c>
      <x:c r="G203" s="26" t="n">
        <x:v>1</x:v>
      </x:c>
      <x:c r="H203" s="26" t="n">
        <x:v>0.2</x:v>
      </x:c>
      <x:c r="I203" t="str">
        <x:v>pi/4</x:v>
      </x:c>
      <x:c r="J203" s="26" t="n">
        <x:f>Raw_pure!G103</x:f>
        <x:v>0.0087890625</x:v>
      </x:c>
      <x:c r="K203" s="26" t="n">
        <x:f>Raw_pure!H103</x:f>
        <x:v>0.4873046875</x:v>
      </x:c>
      <x:c r="L203" s="26" t="n">
        <x:f>Raw_pure!I103</x:f>
        <x:v>0.494140625</x:v>
      </x:c>
      <x:c r="M203" s="26" t="n">
        <x:f>Raw_pure!J103</x:f>
        <x:v>0.009765625</x:v>
      </x:c>
      <x:c r="N203" s="26" t="n">
        <x:v>0.5</x:v>
      </x:c>
      <x:c r="O203" s="26" t="n">
        <x:v>0.5</x:v>
      </x:c>
      <x:c r="P203" s="26" t="n">
        <x:f>J203*E203+K203*F203+L203*G203+M203*H203</x:f>
        <x:v>0.502685546875</x:v>
      </x:c>
      <x:c r="Q203" s="26" t="n">
        <x:f>J203*E203+K203*G203+L203*F203+M203*H203</x:f>
        <x:v>0.495849609375</x:v>
      </x:c>
      <x:c r="R203" s="26" t="n">
        <x:f>(P203+Q203)/2</x:f>
        <x:v>0.499267578125</x:v>
      </x:c>
      <x:c r="S203" s="26" t="n">
        <x:f>P203-Q203</x:f>
        <x:v>0.0068359375</x:v>
      </x:c>
      <x:c r="T203" s="26" t="n">
        <x:f>(P203-N203)^2+(Q203-O203)^2</x:f>
        <x:v>0.000024437904357910156</x:v>
      </x:c>
    </x:row>
    <x:row r="204">
      <x:c r="A204" t="str">
        <x:v>C</x:v>
      </x:c>
      <x:c r="B204" t="n">
        <x:v>1</x:v>
      </x:c>
      <x:c r="C204" t="str">
        <x:v>Case 3a(ii) (PD), mixed</x:v>
      </x:c>
      <x:c r="D204" t="str">
        <x:v>mixed reconstructed</x:v>
      </x:c>
      <x:c r="E204" s="26" t="n">
        <x:v>0.875</x:v>
      </x:c>
      <x:c r="F204" s="26" t="n">
        <x:v>0</x:v>
      </x:c>
      <x:c r="G204" s="26" t="n">
        <x:v>1</x:v>
      </x:c>
      <x:c r="H204" s="26" t="n">
        <x:v>0.375</x:v>
      </x:c>
      <x:c r="I204" t="str">
        <x:v>pi/2</x:v>
      </x:c>
      <x:c r="J204" s="26" t="n">
        <x:f>Mixed_Reconstructed!B4</x:f>
        <x:v>0.49609375</x:v>
      </x:c>
      <x:c r="K204" s="26" t="n">
        <x:f>Mixed_Reconstructed!C4</x:f>
        <x:v>0.0185546875</x:v>
      </x:c>
      <x:c r="L204" s="26" t="n">
        <x:f>Mixed_Reconstructed!D4</x:f>
        <x:v>0.0048828125</x:v>
      </x:c>
      <x:c r="M204" s="26" t="n">
        <x:f>Mixed_Reconstructed!E4</x:f>
        <x:v>0.48046875</x:v>
      </x:c>
      <x:c r="N204" s="26" t="n">
        <x:v>0.625</x:v>
      </x:c>
      <x:c r="O204" s="26" t="n">
        <x:v>0.625</x:v>
      </x:c>
      <x:c r="P204" s="26" t="n">
        <x:f>J204*E204+K204*F204+L204*G204+M204*H204</x:f>
        <x:v>0.619140625</x:v>
      </x:c>
      <x:c r="Q204" s="26" t="n">
        <x:f>J204*E204+K204*G204+L204*F204+M204*H204</x:f>
        <x:v>0.6328125</x:v>
      </x:c>
      <x:c r="R204" s="26" t="n">
        <x:f>(P204+Q204)/2</x:f>
        <x:v>0.6259765625</x:v>
      </x:c>
      <x:c r="S204" s="26" t="n">
        <x:f>P204-Q204</x:f>
        <x:v>-0.013671875</x:v>
      </x:c>
      <x:c r="T204" s="26" t="n">
        <x:f>(P204-N204)^2+(Q204-O204)^2</x:f>
        <x:v>0.000095367431640625</x:v>
      </x:c>
    </x:row>
    <x:row r="205">
      <x:c r="A205" t="str">
        <x:v>C</x:v>
      </x:c>
      <x:c r="B205" t="n">
        <x:v>2</x:v>
      </x:c>
      <x:c r="C205" t="str">
        <x:v>Case 3a(ii) (PD), mixed</x:v>
      </x:c>
      <x:c r="D205" t="str">
        <x:v>mixed reconstructed</x:v>
      </x:c>
      <x:c r="E205" s="26" t="n">
        <x:v>0.875</x:v>
      </x:c>
      <x:c r="F205" s="26" t="n">
        <x:v>0</x:v>
      </x:c>
      <x:c r="G205" s="26" t="n">
        <x:v>1</x:v>
      </x:c>
      <x:c r="H205" s="26" t="n">
        <x:v>0.375</x:v>
      </x:c>
      <x:c r="I205" t="str">
        <x:v>pi/2</x:v>
      </x:c>
      <x:c r="J205" s="26" t="n">
        <x:f>Mixed_Reconstructed!B5</x:f>
        <x:v>0.4921875</x:v>
      </x:c>
      <x:c r="K205" s="26" t="n">
        <x:f>Mixed_Reconstructed!C5</x:f>
        <x:v>0.0107421875</x:v>
      </x:c>
      <x:c r="L205" s="26" t="n">
        <x:f>Mixed_Reconstructed!D5</x:f>
        <x:v>0.01171875</x:v>
      </x:c>
      <x:c r="M205" s="26" t="n">
        <x:f>Mixed_Reconstructed!E5</x:f>
        <x:v>0.4853515625</x:v>
      </x:c>
      <x:c r="N205" s="26" t="n">
        <x:v>0.625</x:v>
      </x:c>
      <x:c r="O205" s="26" t="n">
        <x:v>0.625</x:v>
      </x:c>
      <x:c r="P205" s="26" t="n">
        <x:f>J205*E205+K205*F205+L205*G205+M205*H205</x:f>
        <x:v>0.6243896484375</x:v>
      </x:c>
      <x:c r="Q205" s="26" t="n">
        <x:f>J205*E205+K205*G205+L205*F205+M205*H205</x:f>
        <x:v>0.6234130859375</x:v>
      </x:c>
      <x:c r="R205" s="26" t="n">
        <x:f>(P205+Q205)/2</x:f>
        <x:v>0.6239013671875</x:v>
      </x:c>
      <x:c r="S205" s="26" t="n">
        <x:f>P205-Q205</x:f>
        <x:v>0.0009765625</x:v>
      </x:c>
      <x:c r="T205" s="26" t="n">
        <x:f>(P205-N205)^2+(Q205-O205)^2</x:f>
        <x:v>0.0000028908252716064453</x:v>
      </x:c>
    </x:row>
    <x:row r="206">
      <x:c r="A206" t="str">
        <x:v>C</x:v>
      </x:c>
      <x:c r="B206" t="n">
        <x:v>3</x:v>
      </x:c>
      <x:c r="C206" t="str">
        <x:v>Case 3a(ii) (PD), mixed</x:v>
      </x:c>
      <x:c r="D206" t="str">
        <x:v>mixed reconstructed</x:v>
      </x:c>
      <x:c r="E206" s="26" t="n">
        <x:v>0.875</x:v>
      </x:c>
      <x:c r="F206" s="26" t="n">
        <x:v>0</x:v>
      </x:c>
      <x:c r="G206" s="26" t="n">
        <x:v>1</x:v>
      </x:c>
      <x:c r="H206" s="26" t="n">
        <x:v>0.375</x:v>
      </x:c>
      <x:c r="I206" t="str">
        <x:v>pi/2</x:v>
      </x:c>
      <x:c r="J206" s="26" t="n">
        <x:f>Mixed_Reconstructed!B6</x:f>
        <x:v>0.4921875</x:v>
      </x:c>
      <x:c r="K206" s="26" t="n">
        <x:f>Mixed_Reconstructed!C6</x:f>
        <x:v>0.0126953125</x:v>
      </x:c>
      <x:c r="L206" s="26" t="n">
        <x:f>Mixed_Reconstructed!D6</x:f>
        <x:v>0.0068359375</x:v>
      </x:c>
      <x:c r="M206" s="26" t="n">
        <x:f>Mixed_Reconstructed!E6</x:f>
        <x:v>0.48828125</x:v>
      </x:c>
      <x:c r="N206" s="26" t="n">
        <x:v>0.625</x:v>
      </x:c>
      <x:c r="O206" s="26" t="n">
        <x:v>0.625</x:v>
      </x:c>
      <x:c r="P206" s="26" t="n">
        <x:f>J206*E206+K206*F206+L206*G206+M206*H206</x:f>
        <x:v>0.62060546875</x:v>
      </x:c>
      <x:c r="Q206" s="26" t="n">
        <x:f>J206*E206+K206*G206+L206*F206+M206*H206</x:f>
        <x:v>0.62646484375</x:v>
      </x:c>
      <x:c r="R206" s="26" t="n">
        <x:f>(P206+Q206)/2</x:f>
        <x:v>0.62353515625</x:v>
      </x:c>
      <x:c r="S206" s="26" t="n">
        <x:f>P206-Q206</x:f>
        <x:v>-0.005859375</x:v>
      </x:c>
      <x:c r="T206" s="26" t="n">
        <x:f>(P206-N206)^2+(Q206-O206)^2</x:f>
        <x:v>0.000021457672119140625</x:v>
      </x:c>
    </x:row>
    <x:row r="207">
      <x:c r="A207" t="str">
        <x:v>C</x:v>
      </x:c>
      <x:c r="B207" t="n">
        <x:v>4</x:v>
      </x:c>
      <x:c r="C207" t="str">
        <x:v>Case 3a(ii) (PD), mixed</x:v>
      </x:c>
      <x:c r="D207" t="str">
        <x:v>mixed reconstructed</x:v>
      </x:c>
      <x:c r="E207" s="26" t="n">
        <x:v>0.875</x:v>
      </x:c>
      <x:c r="F207" s="26" t="n">
        <x:v>0</x:v>
      </x:c>
      <x:c r="G207" s="26" t="n">
        <x:v>1</x:v>
      </x:c>
      <x:c r="H207" s="26" t="n">
        <x:v>0.375</x:v>
      </x:c>
      <x:c r="I207" t="str">
        <x:v>pi/2</x:v>
      </x:c>
      <x:c r="J207" s="26" t="n">
        <x:f>Mixed_Reconstructed!B7</x:f>
        <x:v>0.498046875</x:v>
      </x:c>
      <x:c r="K207" s="26" t="n">
        <x:f>Mixed_Reconstructed!C7</x:f>
        <x:v>0.01171875</x:v>
      </x:c>
      <x:c r="L207" s="26" t="n">
        <x:f>Mixed_Reconstructed!D7</x:f>
        <x:v>0.0087890625</x:v>
      </x:c>
      <x:c r="M207" s="26" t="n">
        <x:f>Mixed_Reconstructed!E7</x:f>
        <x:v>0.4814453125</x:v>
      </x:c>
      <x:c r="N207" s="26" t="n">
        <x:v>0.625</x:v>
      </x:c>
      <x:c r="O207" s="26" t="n">
        <x:v>0.625</x:v>
      </x:c>
      <x:c r="P207" s="26" t="n">
        <x:f>J207*E207+K207*F207+L207*G207+M207*H207</x:f>
        <x:v>0.6251220703125</x:v>
      </x:c>
      <x:c r="Q207" s="26" t="n">
        <x:f>J207*E207+K207*G207+L207*F207+M207*H207</x:f>
        <x:v>0.6280517578125</x:v>
      </x:c>
      <x:c r="R207" s="26" t="n">
        <x:f>(P207+Q207)/2</x:f>
        <x:v>0.6265869140625</x:v>
      </x:c>
      <x:c r="S207" s="26" t="n">
        <x:f>P207-Q207</x:f>
        <x:v>-0.0029296875</x:v>
      </x:c>
      <x:c r="T207" s="26" t="n">
        <x:f>(P207-N207)^2+(Q207-O207)^2</x:f>
        <x:v>0.000009328126907348633</x:v>
      </x:c>
    </x:row>
    <x:row r="208">
      <x:c r="A208" t="str">
        <x:v>C</x:v>
      </x:c>
      <x:c r="B208" t="n">
        <x:v>5</x:v>
      </x:c>
      <x:c r="C208" t="str">
        <x:v>Case 3a(ii) (PD), mixed</x:v>
      </x:c>
      <x:c r="D208" t="str">
        <x:v>mixed reconstructed</x:v>
      </x:c>
      <x:c r="E208" s="26" t="n">
        <x:v>0.875</x:v>
      </x:c>
      <x:c r="F208" s="26" t="n">
        <x:v>0</x:v>
      </x:c>
      <x:c r="G208" s="26" t="n">
        <x:v>1</x:v>
      </x:c>
      <x:c r="H208" s="26" t="n">
        <x:v>0.375</x:v>
      </x:c>
      <x:c r="I208" t="str">
        <x:v>pi/2</x:v>
      </x:c>
      <x:c r="J208" s="26" t="n">
        <x:f>Mixed_Reconstructed!B8</x:f>
        <x:v>0.4873046875</x:v>
      </x:c>
      <x:c r="K208" s="26" t="n">
        <x:f>Mixed_Reconstructed!C8</x:f>
        <x:v>0.0126953125</x:v>
      </x:c>
      <x:c r="L208" s="26" t="n">
        <x:f>Mixed_Reconstructed!D8</x:f>
        <x:v>0.009765625</x:v>
      </x:c>
      <x:c r="M208" s="26" t="n">
        <x:f>Mixed_Reconstructed!E8</x:f>
        <x:v>0.490234375</x:v>
      </x:c>
      <x:c r="N208" s="26" t="n">
        <x:v>0.625</x:v>
      </x:c>
      <x:c r="O208" s="26" t="n">
        <x:v>0.625</x:v>
      </x:c>
      <x:c r="P208" s="26" t="n">
        <x:f>J208*E208+K208*F208+L208*G208+M208*H208</x:f>
        <x:v>0.6199951171875</x:v>
      </x:c>
      <x:c r="Q208" s="26" t="n">
        <x:f>J208*E208+K208*G208+L208*F208+M208*H208</x:f>
        <x:v>0.6229248046875</x:v>
      </x:c>
      <x:c r="R208" s="26" t="n">
        <x:f>(P208+Q208)/2</x:f>
        <x:v>0.6214599609375</x:v>
      </x:c>
      <x:c r="S208" s="26" t="n">
        <x:f>P208-Q208</x:f>
        <x:v>-0.0029296875</x:v>
      </x:c>
      <x:c r="T208" s="26" t="n">
        <x:f>(P208-N208)^2+(Q208-O208)^2</x:f>
        <x:v>0.000029355287551879883</x:v>
      </x:c>
    </x:row>
    <x:row r="209">
      <x:c r="A209" t="str">
        <x:v>C</x:v>
      </x:c>
      <x:c r="B209" t="n">
        <x:v>6</x:v>
      </x:c>
      <x:c r="C209" t="str">
        <x:v>Case 3a(ii) (PD), mixed</x:v>
      </x:c>
      <x:c r="D209" t="str">
        <x:v>mixed reconstructed</x:v>
      </x:c>
      <x:c r="E209" s="26" t="n">
        <x:v>0.875</x:v>
      </x:c>
      <x:c r="F209" s="26" t="n">
        <x:v>0</x:v>
      </x:c>
      <x:c r="G209" s="26" t="n">
        <x:v>1</x:v>
      </x:c>
      <x:c r="H209" s="26" t="n">
        <x:v>0.375</x:v>
      </x:c>
      <x:c r="I209" t="str">
        <x:v>pi/2</x:v>
      </x:c>
      <x:c r="J209" s="26" t="n">
        <x:f>Mixed_Reconstructed!B9</x:f>
        <x:v>0.494140625</x:v>
      </x:c>
      <x:c r="K209" s="26" t="n">
        <x:f>Mixed_Reconstructed!C9</x:f>
        <x:v>0.0087890625</x:v>
      </x:c>
      <x:c r="L209" s="26" t="n">
        <x:f>Mixed_Reconstructed!D9</x:f>
        <x:v>0.01171875</x:v>
      </x:c>
      <x:c r="M209" s="26" t="n">
        <x:f>Mixed_Reconstructed!E9</x:f>
        <x:v>0.4853515625</x:v>
      </x:c>
      <x:c r="N209" s="26" t="n">
        <x:v>0.625</x:v>
      </x:c>
      <x:c r="O209" s="26" t="n">
        <x:v>0.625</x:v>
      </x:c>
      <x:c r="P209" s="26" t="n">
        <x:f>J209*E209+K209*F209+L209*G209+M209*H209</x:f>
        <x:v>0.6260986328125</x:v>
      </x:c>
      <x:c r="Q209" s="26" t="n">
        <x:f>J209*E209+K209*G209+L209*F209+M209*H209</x:f>
        <x:v>0.6231689453125</x:v>
      </x:c>
      <x:c r="R209" s="26" t="n">
        <x:f>(P209+Q209)/2</x:f>
        <x:v>0.6246337890625</x:v>
      </x:c>
      <x:c r="S209" s="26" t="n">
        <x:f>P209-Q209</x:f>
        <x:v>0.0029296875</x:v>
      </x:c>
      <x:c r="T209" s="26" t="n">
        <x:f>(P209-N209)^2+(Q209-O209)^2</x:f>
        <x:v>0.000004559755325317383</x:v>
      </x:c>
    </x:row>
    <x:row r="210">
      <x:c r="A210" t="str">
        <x:v>C</x:v>
      </x:c>
      <x:c r="B210" t="n">
        <x:v>7</x:v>
      </x:c>
      <x:c r="C210" t="str">
        <x:v>Case 3a(ii) (PD), mixed</x:v>
      </x:c>
      <x:c r="D210" t="str">
        <x:v>mixed reconstructed</x:v>
      </x:c>
      <x:c r="E210" s="26" t="n">
        <x:v>0.875</x:v>
      </x:c>
      <x:c r="F210" s="26" t="n">
        <x:v>0</x:v>
      </x:c>
      <x:c r="G210" s="26" t="n">
        <x:v>1</x:v>
      </x:c>
      <x:c r="H210" s="26" t="n">
        <x:v>0.375</x:v>
      </x:c>
      <x:c r="I210" t="str">
        <x:v>pi/2</x:v>
      </x:c>
      <x:c r="J210" s="26" t="n">
        <x:f>Mixed_Reconstructed!B10</x:f>
        <x:v>0.498046875</x:v>
      </x:c>
      <x:c r="K210" s="26" t="n">
        <x:f>Mixed_Reconstructed!C10</x:f>
        <x:v>0.01171875</x:v>
      </x:c>
      <x:c r="L210" s="26" t="n">
        <x:f>Mixed_Reconstructed!D10</x:f>
        <x:v>0.005859375</x:v>
      </x:c>
      <x:c r="M210" s="26" t="n">
        <x:f>Mixed_Reconstructed!E10</x:f>
        <x:v>0.484375</x:v>
      </x:c>
      <x:c r="N210" s="26" t="n">
        <x:v>0.625</x:v>
      </x:c>
      <x:c r="O210" s="26" t="n">
        <x:v>0.625</x:v>
      </x:c>
      <x:c r="P210" s="26" t="n">
        <x:f>J210*E210+K210*F210+L210*G210+M210*H210</x:f>
        <x:v>0.623291015625</x:v>
      </x:c>
      <x:c r="Q210" s="26" t="n">
        <x:f>J210*E210+K210*G210+L210*F210+M210*H210</x:f>
        <x:v>0.629150390625</x:v>
      </x:c>
      <x:c r="R210" s="26" t="n">
        <x:f>(P210+Q210)/2</x:f>
        <x:v>0.626220703125</x:v>
      </x:c>
      <x:c r="S210" s="26" t="n">
        <x:f>P210-Q210</x:f>
        <x:v>-0.005859375</x:v>
      </x:c>
      <x:c r="T210" s="26" t="n">
        <x:f>(P210-N210)^2+(Q210-O210)^2</x:f>
        <x:v>0.00002014636993408203</x:v>
      </x:c>
    </x:row>
    <x:row r="211">
      <x:c r="A211" t="str">
        <x:v>C</x:v>
      </x:c>
      <x:c r="B211" t="n">
        <x:v>8</x:v>
      </x:c>
      <x:c r="C211" t="str">
        <x:v>Case 3a(ii) (PD), mixed</x:v>
      </x:c>
      <x:c r="D211" t="str">
        <x:v>mixed reconstructed</x:v>
      </x:c>
      <x:c r="E211" s="26" t="n">
        <x:v>0.875</x:v>
      </x:c>
      <x:c r="F211" s="26" t="n">
        <x:v>0</x:v>
      </x:c>
      <x:c r="G211" s="26" t="n">
        <x:v>1</x:v>
      </x:c>
      <x:c r="H211" s="26" t="n">
        <x:v>0.375</x:v>
      </x:c>
      <x:c r="I211" t="str">
        <x:v>pi/2</x:v>
      </x:c>
      <x:c r="J211" s="26" t="n">
        <x:f>Mixed_Reconstructed!B11</x:f>
        <x:v>0.494140625</x:v>
      </x:c>
      <x:c r="K211" s="26" t="n">
        <x:f>Mixed_Reconstructed!C11</x:f>
        <x:v>0.017578125</x:v>
      </x:c>
      <x:c r="L211" s="26" t="n">
        <x:f>Mixed_Reconstructed!D11</x:f>
        <x:v>0.009765625</x:v>
      </x:c>
      <x:c r="M211" s="26" t="n">
        <x:f>Mixed_Reconstructed!E11</x:f>
        <x:v>0.478515625</x:v>
      </x:c>
      <x:c r="N211" s="26" t="n">
        <x:v>0.625</x:v>
      </x:c>
      <x:c r="O211" s="26" t="n">
        <x:v>0.625</x:v>
      </x:c>
      <x:c r="P211" s="26" t="n">
        <x:f>J211*E211+K211*F211+L211*G211+M211*H211</x:f>
        <x:v>0.62158203125</x:v>
      </x:c>
      <x:c r="Q211" s="26" t="n">
        <x:f>J211*E211+K211*G211+L211*F211+M211*H211</x:f>
        <x:v>0.62939453125</x:v>
      </x:c>
      <x:c r="R211" s="26" t="n">
        <x:f>(P211+Q211)/2</x:f>
        <x:v>0.62548828125</x:v>
      </x:c>
      <x:c r="S211" s="26" t="n">
        <x:f>P211-Q211</x:f>
        <x:v>-0.0078125</x:v>
      </x:c>
      <x:c r="T211" s="26" t="n">
        <x:f>(P211-N211)^2+(Q211-O211)^2</x:f>
        <x:v>0.000030994415283203125</x:v>
      </x:c>
    </x:row>
    <x:row r="212">
      <x:c r="A212" t="str">
        <x:v>C</x:v>
      </x:c>
      <x:c r="B212" t="n">
        <x:v>9</x:v>
      </x:c>
      <x:c r="C212" t="str">
        <x:v>Case 3a(ii) (PD), mixed</x:v>
      </x:c>
      <x:c r="D212" t="str">
        <x:v>mixed reconstructed</x:v>
      </x:c>
      <x:c r="E212" s="26" t="n">
        <x:v>0.875</x:v>
      </x:c>
      <x:c r="F212" s="26" t="n">
        <x:v>0</x:v>
      </x:c>
      <x:c r="G212" s="26" t="n">
        <x:v>1</x:v>
      </x:c>
      <x:c r="H212" s="26" t="n">
        <x:v>0.375</x:v>
      </x:c>
      <x:c r="I212" t="str">
        <x:v>pi/2</x:v>
      </x:c>
      <x:c r="J212" s="26" t="n">
        <x:f>Mixed_Reconstructed!B12</x:f>
        <x:v>0.5009765625</x:v>
      </x:c>
      <x:c r="K212" s="26" t="n">
        <x:f>Mixed_Reconstructed!C12</x:f>
        <x:v>0.0087890625</x:v>
      </x:c>
      <x:c r="L212" s="26" t="n">
        <x:f>Mixed_Reconstructed!D12</x:f>
        <x:v>0.0078125</x:v>
      </x:c>
      <x:c r="M212" s="26" t="n">
        <x:f>Mixed_Reconstructed!E12</x:f>
        <x:v>0.482421875</x:v>
      </x:c>
      <x:c r="N212" s="26" t="n">
        <x:v>0.625</x:v>
      </x:c>
      <x:c r="O212" s="26" t="n">
        <x:v>0.625</x:v>
      </x:c>
      <x:c r="P212" s="26" t="n">
        <x:f>J212*E212+K212*F212+L212*G212+M212*H212</x:f>
        <x:v>0.6270751953125</x:v>
      </x:c>
      <x:c r="Q212" s="26" t="n">
        <x:f>J212*E212+K212*G212+L212*F212+M212*H212</x:f>
        <x:v>0.6280517578125</x:v>
      </x:c>
      <x:c r="R212" s="26" t="n">
        <x:f>(P212+Q212)/2</x:f>
        <x:v>0.6275634765625</x:v>
      </x:c>
      <x:c r="S212" s="26" t="n">
        <x:f>P212-Q212</x:f>
        <x:v>-0.0009765625</x:v>
      </x:c>
      <x:c r="T212" s="26" t="n">
        <x:f>(P212-N212)^2+(Q212-O212)^2</x:f>
        <x:v>0.000013619661331176758</x:v>
      </x:c>
    </x:row>
    <x:row r="213">
      <x:c r="A213" t="str">
        <x:v>C</x:v>
      </x:c>
      <x:c r="B213" t="n">
        <x:v>10</x:v>
      </x:c>
      <x:c r="C213" t="str">
        <x:v>Case 3a(ii) (PD), mixed</x:v>
      </x:c>
      <x:c r="D213" t="str">
        <x:v>mixed reconstructed</x:v>
      </x:c>
      <x:c r="E213" s="26" t="n">
        <x:v>0.875</x:v>
      </x:c>
      <x:c r="F213" s="26" t="n">
        <x:v>0</x:v>
      </x:c>
      <x:c r="G213" s="26" t="n">
        <x:v>1</x:v>
      </x:c>
      <x:c r="H213" s="26" t="n">
        <x:v>0.375</x:v>
      </x:c>
      <x:c r="I213" t="str">
        <x:v>pi/2</x:v>
      </x:c>
      <x:c r="J213" s="26" t="n">
        <x:f>Mixed_Reconstructed!B13</x:f>
        <x:v>0.4892578125</x:v>
      </x:c>
      <x:c r="K213" s="26" t="n">
        <x:f>Mixed_Reconstructed!C13</x:f>
        <x:v>0.0185546875</x:v>
      </x:c>
      <x:c r="L213" s="26" t="n">
        <x:f>Mixed_Reconstructed!D13</x:f>
        <x:v>0.013671875</x:v>
      </x:c>
      <x:c r="M213" s="26" t="n">
        <x:f>Mixed_Reconstructed!E13</x:f>
        <x:v>0.478515625</x:v>
      </x:c>
      <x:c r="N213" s="26" t="n">
        <x:v>0.625</x:v>
      </x:c>
      <x:c r="O213" s="26" t="n">
        <x:v>0.625</x:v>
      </x:c>
      <x:c r="P213" s="26" t="n">
        <x:f>J213*E213+K213*F213+L213*G213+M213*H213</x:f>
        <x:v>0.6212158203125</x:v>
      </x:c>
      <x:c r="Q213" s="26" t="n">
        <x:f>J213*E213+K213*G213+L213*F213+M213*H213</x:f>
        <x:v>0.6260986328125</x:v>
      </x:c>
      <x:c r="R213" s="26" t="n">
        <x:f>(P213+Q213)/2</x:f>
        <x:v>0.6236572265625</x:v>
      </x:c>
      <x:c r="S213" s="26" t="n">
        <x:f>P213-Q213</x:f>
        <x:v>-0.0048828125</x:v>
      </x:c>
      <x:c r="T213" s="26" t="n">
        <x:f>(P213-N213)^2+(Q213-O213)^2</x:f>
        <x:v>0.000015527009963989258</x:v>
      </x:c>
    </x:row>
    <x:row r="214">
      <x:c r="A214" t="str">
        <x:v>C</x:v>
      </x:c>
      <x:c r="B214" t="n">
        <x:v>11</x:v>
      </x:c>
      <x:c r="C214" t="str">
        <x:v>Case 3a(ii) (PD), mixed</x:v>
      </x:c>
      <x:c r="D214" t="str">
        <x:v>mixed reconstructed</x:v>
      </x:c>
      <x:c r="E214" s="26" t="n">
        <x:v>0.875</x:v>
      </x:c>
      <x:c r="F214" s="26" t="n">
        <x:v>0</x:v>
      </x:c>
      <x:c r="G214" s="26" t="n">
        <x:v>1</x:v>
      </x:c>
      <x:c r="H214" s="26" t="n">
        <x:v>0.375</x:v>
      </x:c>
      <x:c r="I214" t="str">
        <x:v>pi/2</x:v>
      </x:c>
      <x:c r="J214" s="26" t="n">
        <x:f>Mixed_Reconstructed!B14</x:f>
        <x:v>0.501953125</x:v>
      </x:c>
      <x:c r="K214" s="26" t="n">
        <x:f>Mixed_Reconstructed!C14</x:f>
        <x:v>0.0126953125</x:v>
      </x:c>
      <x:c r="L214" s="26" t="n">
        <x:f>Mixed_Reconstructed!D14</x:f>
        <x:v>0.005859375</x:v>
      </x:c>
      <x:c r="M214" s="26" t="n">
        <x:f>Mixed_Reconstructed!E14</x:f>
        <x:v>0.4794921875</x:v>
      </x:c>
      <x:c r="N214" s="26" t="n">
        <x:v>0.625</x:v>
      </x:c>
      <x:c r="O214" s="26" t="n">
        <x:v>0.625</x:v>
      </x:c>
      <x:c r="P214" s="26" t="n">
        <x:f>J214*E214+K214*F214+L214*G214+M214*H214</x:f>
        <x:v>0.6248779296875</x:v>
      </x:c>
      <x:c r="Q214" s="26" t="n">
        <x:f>J214*E214+K214*G214+L214*F214+M214*H214</x:f>
        <x:v>0.6317138671875</x:v>
      </x:c>
      <x:c r="R214" s="26" t="n">
        <x:f>(P214+Q214)/2</x:f>
        <x:v>0.6282958984375</x:v>
      </x:c>
      <x:c r="S214" s="26" t="n">
        <x:f>P214-Q214</x:f>
        <x:v>-0.0068359375</x:v>
      </x:c>
      <x:c r="T214" s="26" t="n">
        <x:f>(P214-N214)^2+(Q214-O214)^2</x:f>
        <x:v>0.00004509091377258301</x:v>
      </x:c>
    </x:row>
    <x:row r="215">
      <x:c r="A215" t="str">
        <x:v>C</x:v>
      </x:c>
      <x:c r="B215" t="n">
        <x:v>12</x:v>
      </x:c>
      <x:c r="C215" t="str">
        <x:v>Case 3a(ii) (PD), mixed</x:v>
      </x:c>
      <x:c r="D215" t="str">
        <x:v>mixed reconstructed</x:v>
      </x:c>
      <x:c r="E215" s="26" t="n">
        <x:v>0.875</x:v>
      </x:c>
      <x:c r="F215" s="26" t="n">
        <x:v>0</x:v>
      </x:c>
      <x:c r="G215" s="26" t="n">
        <x:v>1</x:v>
      </x:c>
      <x:c r="H215" s="26" t="n">
        <x:v>0.375</x:v>
      </x:c>
      <x:c r="I215" t="str">
        <x:v>pi/2</x:v>
      </x:c>
      <x:c r="J215" s="26" t="n">
        <x:f>Mixed_Reconstructed!B15</x:f>
        <x:v>0.498046875</x:v>
      </x:c>
      <x:c r="K215" s="26" t="n">
        <x:f>Mixed_Reconstructed!C15</x:f>
        <x:v>0.009765625</x:v>
      </x:c>
      <x:c r="L215" s="26" t="n">
        <x:f>Mixed_Reconstructed!D15</x:f>
        <x:v>0.0087890625</x:v>
      </x:c>
      <x:c r="M215" s="26" t="n">
        <x:f>Mixed_Reconstructed!E15</x:f>
        <x:v>0.4833984375</x:v>
      </x:c>
      <x:c r="N215" s="26" t="n">
        <x:v>0.625</x:v>
      </x:c>
      <x:c r="O215" s="26" t="n">
        <x:v>0.625</x:v>
      </x:c>
      <x:c r="P215" s="26" t="n">
        <x:f>J215*E215+K215*F215+L215*G215+M215*H215</x:f>
        <x:v>0.6258544921875</x:v>
      </x:c>
      <x:c r="Q215" s="26" t="n">
        <x:f>J215*E215+K215*G215+L215*F215+M215*H215</x:f>
        <x:v>0.6268310546875</x:v>
      </x:c>
      <x:c r="R215" s="26" t="n">
        <x:f>(P215+Q215)/2</x:f>
        <x:v>0.6263427734375</x:v>
      </x:c>
      <x:c r="S215" s="26" t="n">
        <x:f>P215-Q215</x:f>
        <x:v>-0.0009765625</x:v>
      </x:c>
      <x:c r="T215" s="26" t="n">
        <x:f>(P215-N215)^2+(Q215-O215)^2</x:f>
        <x:v>0.000004082918167114258</x:v>
      </x:c>
    </x:row>
    <x:row r="216">
      <x:c r="A216" t="str">
        <x:v>C</x:v>
      </x:c>
      <x:c r="B216" t="n">
        <x:v>13</x:v>
      </x:c>
      <x:c r="C216" t="str">
        <x:v>Case 3a(ii) (PD), mixed</x:v>
      </x:c>
      <x:c r="D216" t="str">
        <x:v>mixed reconstructed</x:v>
      </x:c>
      <x:c r="E216" s="26" t="n">
        <x:v>0.875</x:v>
      </x:c>
      <x:c r="F216" s="26" t="n">
        <x:v>0</x:v>
      </x:c>
      <x:c r="G216" s="26" t="n">
        <x:v>1</x:v>
      </x:c>
      <x:c r="H216" s="26" t="n">
        <x:v>0.375</x:v>
      </x:c>
      <x:c r="I216" t="str">
        <x:v>pi/2</x:v>
      </x:c>
      <x:c r="J216" s="26" t="n">
        <x:f>Mixed_Reconstructed!B16</x:f>
        <x:v>0.4990234375</x:v>
      </x:c>
      <x:c r="K216" s="26" t="n">
        <x:f>Mixed_Reconstructed!C16</x:f>
        <x:v>0.009765625</x:v>
      </x:c>
      <x:c r="L216" s="26" t="n">
        <x:f>Mixed_Reconstructed!D16</x:f>
        <x:v>0.0087890625</x:v>
      </x:c>
      <x:c r="M216" s="26" t="n">
        <x:f>Mixed_Reconstructed!E16</x:f>
        <x:v>0.482421875</x:v>
      </x:c>
      <x:c r="N216" s="26" t="n">
        <x:v>0.625</x:v>
      </x:c>
      <x:c r="O216" s="26" t="n">
        <x:v>0.625</x:v>
      </x:c>
      <x:c r="P216" s="26" t="n">
        <x:f>J216*E216+K216*F216+L216*G216+M216*H216</x:f>
        <x:v>0.6263427734375</x:v>
      </x:c>
      <x:c r="Q216" s="26" t="n">
        <x:f>J216*E216+K216*G216+L216*F216+M216*H216</x:f>
        <x:v>0.6273193359375</x:v>
      </x:c>
      <x:c r="R216" s="26" t="n">
        <x:f>(P216+Q216)/2</x:f>
        <x:v>0.6268310546875</x:v>
      </x:c>
      <x:c r="S216" s="26" t="n">
        <x:f>P216-Q216</x:f>
        <x:v>-0.0009765625</x:v>
      </x:c>
      <x:c r="T216" s="26" t="n">
        <x:f>(P216-N216)^2+(Q216-O216)^2</x:f>
        <x:v>0.00000718235969543457</x:v>
      </x:c>
    </x:row>
    <x:row r="217">
      <x:c r="A217" t="str">
        <x:v>C</x:v>
      </x:c>
      <x:c r="B217" t="n">
        <x:v>14</x:v>
      </x:c>
      <x:c r="C217" t="str">
        <x:v>Case 3a(ii) (PD), mixed</x:v>
      </x:c>
      <x:c r="D217" t="str">
        <x:v>mixed reconstructed</x:v>
      </x:c>
      <x:c r="E217" s="26" t="n">
        <x:v>0.875</x:v>
      </x:c>
      <x:c r="F217" s="26" t="n">
        <x:v>0</x:v>
      </x:c>
      <x:c r="G217" s="26" t="n">
        <x:v>1</x:v>
      </x:c>
      <x:c r="H217" s="26" t="n">
        <x:v>0.375</x:v>
      </x:c>
      <x:c r="I217" t="str">
        <x:v>pi/2</x:v>
      </x:c>
      <x:c r="J217" s="26" t="n">
        <x:f>Mixed_Reconstructed!B17</x:f>
        <x:v>0.494140625</x:v>
      </x:c>
      <x:c r="K217" s="26" t="n">
        <x:f>Mixed_Reconstructed!C17</x:f>
        <x:v>0.0107421875</x:v>
      </x:c>
      <x:c r="L217" s="26" t="n">
        <x:f>Mixed_Reconstructed!D17</x:f>
        <x:v>0.005859375</x:v>
      </x:c>
      <x:c r="M217" s="26" t="n">
        <x:f>Mixed_Reconstructed!E17</x:f>
        <x:v>0.4892578125</x:v>
      </x:c>
      <x:c r="N217" s="26" t="n">
        <x:v>0.625</x:v>
      </x:c>
      <x:c r="O217" s="26" t="n">
        <x:v>0.625</x:v>
      </x:c>
      <x:c r="P217" s="26" t="n">
        <x:f>J217*E217+K217*F217+L217*G217+M217*H217</x:f>
        <x:v>0.6217041015625</x:v>
      </x:c>
      <x:c r="Q217" s="26" t="n">
        <x:f>J217*E217+K217*G217+L217*F217+M217*H217</x:f>
        <x:v>0.6265869140625</x:v>
      </x:c>
      <x:c r="R217" s="26" t="n">
        <x:f>(P217+Q217)/2</x:f>
        <x:v>0.6241455078125</x:v>
      </x:c>
      <x:c r="S217" s="26" t="n">
        <x:f>P217-Q217</x:f>
        <x:v>-0.0048828125</x:v>
      </x:c>
      <x:c r="T217" s="26" t="n">
        <x:f>(P217-N217)^2+(Q217-O217)^2</x:f>
        <x:v>0.000013381242752075195</x:v>
      </x:c>
    </x:row>
    <x:row r="218">
      <x:c r="A218" t="str">
        <x:v>C</x:v>
      </x:c>
      <x:c r="B218" t="n">
        <x:v>15</x:v>
      </x:c>
      <x:c r="C218" t="str">
        <x:v>Case 3a(ii) (PD), mixed</x:v>
      </x:c>
      <x:c r="D218" t="str">
        <x:v>mixed reconstructed</x:v>
      </x:c>
      <x:c r="E218" s="26" t="n">
        <x:v>0.875</x:v>
      </x:c>
      <x:c r="F218" s="26" t="n">
        <x:v>0</x:v>
      </x:c>
      <x:c r="G218" s="26" t="n">
        <x:v>1</x:v>
      </x:c>
      <x:c r="H218" s="26" t="n">
        <x:v>0.375</x:v>
      </x:c>
      <x:c r="I218" t="str">
        <x:v>pi/2</x:v>
      </x:c>
      <x:c r="J218" s="26" t="n">
        <x:f>Mixed_Reconstructed!B18</x:f>
        <x:v>0.5029296875</x:v>
      </x:c>
      <x:c r="K218" s="26" t="n">
        <x:f>Mixed_Reconstructed!C18</x:f>
        <x:v>0.009765625</x:v>
      </x:c>
      <x:c r="L218" s="26" t="n">
        <x:f>Mixed_Reconstructed!D18</x:f>
        <x:v>0.005859375</x:v>
      </x:c>
      <x:c r="M218" s="26" t="n">
        <x:f>Mixed_Reconstructed!E18</x:f>
        <x:v>0.4814453125</x:v>
      </x:c>
      <x:c r="N218" s="26" t="n">
        <x:v>0.625</x:v>
      </x:c>
      <x:c r="O218" s="26" t="n">
        <x:v>0.625</x:v>
      </x:c>
      <x:c r="P218" s="26" t="n">
        <x:f>J218*E218+K218*F218+L218*G218+M218*H218</x:f>
        <x:v>0.62646484375</x:v>
      </x:c>
      <x:c r="Q218" s="26" t="n">
        <x:f>J218*E218+K218*G218+L218*F218+M218*H218</x:f>
        <x:v>0.63037109375</x:v>
      </x:c>
      <x:c r="R218" s="26" t="n">
        <x:f>(P218+Q218)/2</x:f>
        <x:v>0.62841796875</x:v>
      </x:c>
      <x:c r="S218" s="26" t="n">
        <x:f>P218-Q218</x:f>
        <x:v>-0.00390625</x:v>
      </x:c>
      <x:c r="T218" s="26" t="n">
        <x:f>(P218-N218)^2+(Q218-O218)^2</x:f>
        <x:v>0.000030994415283203125</x:v>
      </x:c>
    </x:row>
    <x:row r="219">
      <x:c r="A219" t="str">
        <x:v>C</x:v>
      </x:c>
      <x:c r="B219" t="n">
        <x:v>16</x:v>
      </x:c>
      <x:c r="C219" t="str">
        <x:v>Case 3a(ii) (PD), mixed</x:v>
      </x:c>
      <x:c r="D219" t="str">
        <x:v>mixed reconstructed</x:v>
      </x:c>
      <x:c r="E219" s="26" t="n">
        <x:v>0.875</x:v>
      </x:c>
      <x:c r="F219" s="26" t="n">
        <x:v>0</x:v>
      </x:c>
      <x:c r="G219" s="26" t="n">
        <x:v>1</x:v>
      </x:c>
      <x:c r="H219" s="26" t="n">
        <x:v>0.375</x:v>
      </x:c>
      <x:c r="I219" t="str">
        <x:v>pi/2</x:v>
      </x:c>
      <x:c r="J219" s="26" t="n">
        <x:f>Mixed_Reconstructed!B19</x:f>
        <x:v>0.5009765625</x:v>
      </x:c>
      <x:c r="K219" s="26" t="n">
        <x:f>Mixed_Reconstructed!C19</x:f>
        <x:v>0.009765625</x:v>
      </x:c>
      <x:c r="L219" s="26" t="n">
        <x:f>Mixed_Reconstructed!D19</x:f>
        <x:v>0.0087890625</x:v>
      </x:c>
      <x:c r="M219" s="26" t="n">
        <x:f>Mixed_Reconstructed!E19</x:f>
        <x:v>0.48046875</x:v>
      </x:c>
      <x:c r="N219" s="26" t="n">
        <x:v>0.625</x:v>
      </x:c>
      <x:c r="O219" s="26" t="n">
        <x:v>0.625</x:v>
      </x:c>
      <x:c r="P219" s="26" t="n">
        <x:f>J219*E219+K219*F219+L219*G219+M219*H219</x:f>
        <x:v>0.6273193359375</x:v>
      </x:c>
      <x:c r="Q219" s="26" t="n">
        <x:f>J219*E219+K219*G219+L219*F219+M219*H219</x:f>
        <x:v>0.6282958984375</x:v>
      </x:c>
      <x:c r="R219" s="26" t="n">
        <x:f>(P219+Q219)/2</x:f>
        <x:v>0.6278076171875</x:v>
      </x:c>
      <x:c r="S219" s="26" t="n">
        <x:f>P219-Q219</x:f>
        <x:v>-0.0009765625</x:v>
      </x:c>
      <x:c r="T219" s="26" t="n">
        <x:f>(P219-N219)^2+(Q219-O219)^2</x:f>
        <x:v>0.000016242265701293945</x:v>
      </x:c>
    </x:row>
    <x:row r="220">
      <x:c r="A220" t="str">
        <x:v>C</x:v>
      </x:c>
      <x:c r="B220" t="n">
        <x:v>17</x:v>
      </x:c>
      <x:c r="C220" t="str">
        <x:v>Case 3a(ii) (PD), mixed</x:v>
      </x:c>
      <x:c r="D220" t="str">
        <x:v>mixed reconstructed</x:v>
      </x:c>
      <x:c r="E220" s="26" t="n">
        <x:v>0.875</x:v>
      </x:c>
      <x:c r="F220" s="26" t="n">
        <x:v>0</x:v>
      </x:c>
      <x:c r="G220" s="26" t="n">
        <x:v>1</x:v>
      </x:c>
      <x:c r="H220" s="26" t="n">
        <x:v>0.375</x:v>
      </x:c>
      <x:c r="I220" t="str">
        <x:v>pi/2</x:v>
      </x:c>
      <x:c r="J220" s="26" t="n">
        <x:f>Mixed_Reconstructed!B20</x:f>
        <x:v>0.4921875</x:v>
      </x:c>
      <x:c r="K220" s="26" t="n">
        <x:f>Mixed_Reconstructed!C20</x:f>
        <x:v>0.0146484375</x:v>
      </x:c>
      <x:c r="L220" s="26" t="n">
        <x:f>Mixed_Reconstructed!D20</x:f>
        <x:v>0.0087890625</x:v>
      </x:c>
      <x:c r="M220" s="26" t="n">
        <x:f>Mixed_Reconstructed!E20</x:f>
        <x:v>0.484375</x:v>
      </x:c>
      <x:c r="N220" s="26" t="n">
        <x:v>0.625</x:v>
      </x:c>
      <x:c r="O220" s="26" t="n">
        <x:v>0.625</x:v>
      </x:c>
      <x:c r="P220" s="26" t="n">
        <x:f>J220*E220+K220*F220+L220*G220+M220*H220</x:f>
        <x:v>0.62109375</x:v>
      </x:c>
      <x:c r="Q220" s="26" t="n">
        <x:f>J220*E220+K220*G220+L220*F220+M220*H220</x:f>
        <x:v>0.626953125</x:v>
      </x:c>
      <x:c r="R220" s="26" t="n">
        <x:f>(P220+Q220)/2</x:f>
        <x:v>0.6240234375</x:v>
      </x:c>
      <x:c r="S220" s="26" t="n">
        <x:f>P220-Q220</x:f>
        <x:v>-0.005859375</x:v>
      </x:c>
      <x:c r="T220" s="26" t="n">
        <x:f>(P220-N220)^2+(Q220-O220)^2</x:f>
        <x:v>0.000019073486328125</x:v>
      </x:c>
    </x:row>
    <x:row r="221">
      <x:c r="A221" t="str">
        <x:v>C</x:v>
      </x:c>
      <x:c r="B221" t="n">
        <x:v>18</x:v>
      </x:c>
      <x:c r="C221" t="str">
        <x:v>Case 3a(ii) (PD), mixed</x:v>
      </x:c>
      <x:c r="D221" t="str">
        <x:v>mixed reconstructed</x:v>
      </x:c>
      <x:c r="E221" s="26" t="n">
        <x:v>0.875</x:v>
      </x:c>
      <x:c r="F221" s="26" t="n">
        <x:v>0</x:v>
      </x:c>
      <x:c r="G221" s="26" t="n">
        <x:v>1</x:v>
      </x:c>
      <x:c r="H221" s="26" t="n">
        <x:v>0.375</x:v>
      </x:c>
      <x:c r="I221" t="str">
        <x:v>pi/2</x:v>
      </x:c>
      <x:c r="J221" s="26" t="n">
        <x:f>Mixed_Reconstructed!B21</x:f>
        <x:v>0.49609375</x:v>
      </x:c>
      <x:c r="K221" s="26" t="n">
        <x:f>Mixed_Reconstructed!C21</x:f>
        <x:v>0.0126953125</x:v>
      </x:c>
      <x:c r="L221" s="26" t="n">
        <x:f>Mixed_Reconstructed!D21</x:f>
        <x:v>0.0078125</x:v>
      </x:c>
      <x:c r="M221" s="26" t="n">
        <x:f>Mixed_Reconstructed!E21</x:f>
        <x:v>0.4833984375</x:v>
      </x:c>
      <x:c r="N221" s="26" t="n">
        <x:v>0.625</x:v>
      </x:c>
      <x:c r="O221" s="26" t="n">
        <x:v>0.625</x:v>
      </x:c>
      <x:c r="P221" s="26" t="n">
        <x:f>J221*E221+K221*F221+L221*G221+M221*H221</x:f>
        <x:v>0.6231689453125</x:v>
      </x:c>
      <x:c r="Q221" s="26" t="n">
        <x:f>J221*E221+K221*G221+L221*F221+M221*H221</x:f>
        <x:v>0.6280517578125</x:v>
      </x:c>
      <x:c r="R221" s="26" t="n">
        <x:f>(P221+Q221)/2</x:f>
        <x:v>0.6256103515625</x:v>
      </x:c>
      <x:c r="S221" s="26" t="n">
        <x:f>P221-Q221</x:f>
        <x:v>-0.0048828125</x:v>
      </x:c>
      <x:c r="T221" s="26" t="n">
        <x:f>(P221-N221)^2+(Q221-O221)^2</x:f>
        <x:v>0.000012665987014770508</x:v>
      </x:c>
    </x:row>
    <x:row r="222">
      <x:c r="A222" t="str">
        <x:v>C</x:v>
      </x:c>
      <x:c r="B222" t="n">
        <x:v>19</x:v>
      </x:c>
      <x:c r="C222" t="str">
        <x:v>Case 3a(ii) (PD), mixed</x:v>
      </x:c>
      <x:c r="D222" t="str">
        <x:v>mixed reconstructed</x:v>
      </x:c>
      <x:c r="E222" s="26" t="n">
        <x:v>0.875</x:v>
      </x:c>
      <x:c r="F222" s="26" t="n">
        <x:v>0</x:v>
      </x:c>
      <x:c r="G222" s="26" t="n">
        <x:v>1</x:v>
      </x:c>
      <x:c r="H222" s="26" t="n">
        <x:v>0.375</x:v>
      </x:c>
      <x:c r="I222" t="str">
        <x:v>pi/2</x:v>
      </x:c>
      <x:c r="J222" s="26" t="n">
        <x:f>Mixed_Reconstructed!B22</x:f>
        <x:v>0.4931640625</x:v>
      </x:c>
      <x:c r="K222" s="26" t="n">
        <x:f>Mixed_Reconstructed!C22</x:f>
        <x:v>0.01171875</x:v>
      </x:c>
      <x:c r="L222" s="26" t="n">
        <x:f>Mixed_Reconstructed!D22</x:f>
        <x:v>0.0107421875</x:v>
      </x:c>
      <x:c r="M222" s="26" t="n">
        <x:f>Mixed_Reconstructed!E22</x:f>
        <x:v>0.484375</x:v>
      </x:c>
      <x:c r="N222" s="26" t="n">
        <x:v>0.625</x:v>
      </x:c>
      <x:c r="O222" s="26" t="n">
        <x:v>0.625</x:v>
      </x:c>
      <x:c r="P222" s="26" t="n">
        <x:f>J222*E222+K222*F222+L222*G222+M222*H222</x:f>
        <x:v>0.6239013671875</x:v>
      </x:c>
      <x:c r="Q222" s="26" t="n">
        <x:f>J222*E222+K222*G222+L222*F222+M222*H222</x:f>
        <x:v>0.6248779296875</x:v>
      </x:c>
      <x:c r="R222" s="26" t="n">
        <x:f>(P222+Q222)/2</x:f>
        <x:v>0.6243896484375</x:v>
      </x:c>
      <x:c r="S222" s="26" t="n">
        <x:f>P222-Q222</x:f>
        <x:v>-0.0009765625</x:v>
      </x:c>
      <x:c r="T222" s="26" t="n">
        <x:f>(P222-N222)^2+(Q222-O222)^2</x:f>
        <x:v>0.0000012218952178955078</x:v>
      </x:c>
    </x:row>
    <x:row r="223">
      <x:c r="A223" t="str">
        <x:v>C</x:v>
      </x:c>
      <x:c r="B223" t="n">
        <x:v>20</x:v>
      </x:c>
      <x:c r="C223" t="str">
        <x:v>Case 3a(ii) (PD), mixed</x:v>
      </x:c>
      <x:c r="D223" t="str">
        <x:v>mixed reconstructed</x:v>
      </x:c>
      <x:c r="E223" s="26" t="n">
        <x:v>0.875</x:v>
      </x:c>
      <x:c r="F223" s="26" t="n">
        <x:v>0</x:v>
      </x:c>
      <x:c r="G223" s="26" t="n">
        <x:v>1</x:v>
      </x:c>
      <x:c r="H223" s="26" t="n">
        <x:v>0.375</x:v>
      </x:c>
      <x:c r="I223" t="str">
        <x:v>pi/2</x:v>
      </x:c>
      <x:c r="J223" s="26" t="n">
        <x:f>Mixed_Reconstructed!B23</x:f>
        <x:v>0.494140625</x:v>
      </x:c>
      <x:c r="K223" s="26" t="n">
        <x:f>Mixed_Reconstructed!C23</x:f>
        <x:v>0.0107421875</x:v>
      </x:c>
      <x:c r="L223" s="26" t="n">
        <x:f>Mixed_Reconstructed!D23</x:f>
        <x:v>0.0107421875</x:v>
      </x:c>
      <x:c r="M223" s="26" t="n">
        <x:f>Mixed_Reconstructed!E23</x:f>
        <x:v>0.484375</x:v>
      </x:c>
      <x:c r="N223" s="26" t="n">
        <x:v>0.625</x:v>
      </x:c>
      <x:c r="O223" s="26" t="n">
        <x:v>0.625</x:v>
      </x:c>
      <x:c r="P223" s="26" t="n">
        <x:f>J223*E223+K223*F223+L223*G223+M223*H223</x:f>
        <x:v>0.624755859375</x:v>
      </x:c>
      <x:c r="Q223" s="26" t="n">
        <x:f>J223*E223+K223*G223+L223*F223+M223*H223</x:f>
        <x:v>0.624755859375</x:v>
      </x:c>
      <x:c r="R223" s="26" t="n">
        <x:f>(P223+Q223)/2</x:f>
        <x:v>0.624755859375</x:v>
      </x:c>
      <x:c r="S223" s="26" t="n">
        <x:f>P223-Q223</x:f>
        <x:v>0</x:v>
      </x:c>
      <x:c r="T223" s="26" t="n">
        <x:f>(P223-N223)^2+(Q223-O223)^2</x:f>
        <x:v>1.1920928955078125e-7</x:v>
      </x:c>
    </x:row>
    <x:row r="224">
      <x:c r="A224" t="str">
        <x:v>C</x:v>
      </x:c>
      <x:c r="B224" t="n">
        <x:v>21</x:v>
      </x:c>
      <x:c r="C224" t="str">
        <x:v>Case 3a(ii) (PD), mixed</x:v>
      </x:c>
      <x:c r="D224" t="str">
        <x:v>mixed reconstructed</x:v>
      </x:c>
      <x:c r="E224" s="26" t="n">
        <x:v>0.875</x:v>
      </x:c>
      <x:c r="F224" s="26" t="n">
        <x:v>0</x:v>
      </x:c>
      <x:c r="G224" s="26" t="n">
        <x:v>1</x:v>
      </x:c>
      <x:c r="H224" s="26" t="n">
        <x:v>0.375</x:v>
      </x:c>
      <x:c r="I224" t="str">
        <x:v>pi/2</x:v>
      </x:c>
      <x:c r="J224" s="26" t="n">
        <x:f>Mixed_Reconstructed!B24</x:f>
        <x:v>0.4921875</x:v>
      </x:c>
      <x:c r="K224" s="26" t="n">
        <x:f>Mixed_Reconstructed!C24</x:f>
        <x:v>0.0166015625</x:v>
      </x:c>
      <x:c r="L224" s="26" t="n">
        <x:f>Mixed_Reconstructed!D24</x:f>
        <x:v>0.0029296875</x:v>
      </x:c>
      <x:c r="M224" s="26" t="n">
        <x:f>Mixed_Reconstructed!E24</x:f>
        <x:v>0.48828125</x:v>
      </x:c>
      <x:c r="N224" s="26" t="n">
        <x:v>0.625</x:v>
      </x:c>
      <x:c r="O224" s="26" t="n">
        <x:v>0.625</x:v>
      </x:c>
      <x:c r="P224" s="26" t="n">
        <x:f>J224*E224+K224*F224+L224*G224+M224*H224</x:f>
        <x:v>0.61669921875</x:v>
      </x:c>
      <x:c r="Q224" s="26" t="n">
        <x:f>J224*E224+K224*G224+L224*F224+M224*H224</x:f>
        <x:v>0.63037109375</x:v>
      </x:c>
      <x:c r="R224" s="26" t="n">
        <x:f>(P224+Q224)/2</x:f>
        <x:v>0.62353515625</x:v>
      </x:c>
      <x:c r="S224" s="26" t="n">
        <x:f>P224-Q224</x:f>
        <x:v>-0.013671875</x:v>
      </x:c>
      <x:c r="T224" s="26" t="n">
        <x:f>(P224-N224)^2+(Q224-O224)^2</x:f>
        <x:v>0.00009775161743164062</x:v>
      </x:c>
    </x:row>
    <x:row r="225">
      <x:c r="A225" t="str">
        <x:v>C</x:v>
      </x:c>
      <x:c r="B225" t="n">
        <x:v>22</x:v>
      </x:c>
      <x:c r="C225" t="str">
        <x:v>Case 3a(ii) (PD), mixed</x:v>
      </x:c>
      <x:c r="D225" t="str">
        <x:v>mixed reconstructed</x:v>
      </x:c>
      <x:c r="E225" s="26" t="n">
        <x:v>0.875</x:v>
      </x:c>
      <x:c r="F225" s="26" t="n">
        <x:v>0</x:v>
      </x:c>
      <x:c r="G225" s="26" t="n">
        <x:v>1</x:v>
      </x:c>
      <x:c r="H225" s="26" t="n">
        <x:v>0.375</x:v>
      </x:c>
      <x:c r="I225" t="str">
        <x:v>pi/2</x:v>
      </x:c>
      <x:c r="J225" s="26" t="n">
        <x:f>Mixed_Reconstructed!B25</x:f>
        <x:v>0.4951171875</x:v>
      </x:c>
      <x:c r="K225" s="26" t="n">
        <x:f>Mixed_Reconstructed!C25</x:f>
        <x:v>0.0146484375</x:v>
      </x:c>
      <x:c r="L225" s="26" t="n">
        <x:f>Mixed_Reconstructed!D25</x:f>
        <x:v>0.0087890625</x:v>
      </x:c>
      <x:c r="M225" s="26" t="n">
        <x:f>Mixed_Reconstructed!E25</x:f>
        <x:v>0.4814453125</x:v>
      </x:c>
      <x:c r="N225" s="26" t="n">
        <x:v>0.625</x:v>
      </x:c>
      <x:c r="O225" s="26" t="n">
        <x:v>0.625</x:v>
      </x:c>
      <x:c r="P225" s="26" t="n">
        <x:f>J225*E225+K225*F225+L225*G225+M225*H225</x:f>
        <x:v>0.62255859375</x:v>
      </x:c>
      <x:c r="Q225" s="26" t="n">
        <x:f>J225*E225+K225*G225+L225*F225+M225*H225</x:f>
        <x:v>0.62841796875</x:v>
      </x:c>
      <x:c r="R225" s="26" t="n">
        <x:f>(P225+Q225)/2</x:f>
        <x:v>0.62548828125</x:v>
      </x:c>
      <x:c r="S225" s="26" t="n">
        <x:f>P225-Q225</x:f>
        <x:v>-0.005859375</x:v>
      </x:c>
      <x:c r="T225" s="26" t="n">
        <x:f>(P225-N225)^2+(Q225-O225)^2</x:f>
        <x:v>0.000017642974853515625</x:v>
      </x:c>
    </x:row>
    <x:row r="226">
      <x:c r="A226" t="str">
        <x:v>C</x:v>
      </x:c>
      <x:c r="B226" t="n">
        <x:v>23</x:v>
      </x:c>
      <x:c r="C226" t="str">
        <x:v>Case 3a(ii) (PD), mixed</x:v>
      </x:c>
      <x:c r="D226" t="str">
        <x:v>mixed reconstructed</x:v>
      </x:c>
      <x:c r="E226" s="26" t="n">
        <x:v>0.875</x:v>
      </x:c>
      <x:c r="F226" s="26" t="n">
        <x:v>0</x:v>
      </x:c>
      <x:c r="G226" s="26" t="n">
        <x:v>1</x:v>
      </x:c>
      <x:c r="H226" s="26" t="n">
        <x:v>0.375</x:v>
      </x:c>
      <x:c r="I226" t="str">
        <x:v>pi/2</x:v>
      </x:c>
      <x:c r="J226" s="26" t="n">
        <x:f>Mixed_Reconstructed!B26</x:f>
        <x:v>0.5</x:v>
      </x:c>
      <x:c r="K226" s="26" t="n">
        <x:f>Mixed_Reconstructed!C26</x:f>
        <x:v>0.0087890625</x:v>
      </x:c>
      <x:c r="L226" s="26" t="n">
        <x:f>Mixed_Reconstructed!D26</x:f>
        <x:v>0.01171875</x:v>
      </x:c>
      <x:c r="M226" s="26" t="n">
        <x:f>Mixed_Reconstructed!E26</x:f>
        <x:v>0.4794921875</x:v>
      </x:c>
      <x:c r="N226" s="26" t="n">
        <x:v>0.625</x:v>
      </x:c>
      <x:c r="O226" s="26" t="n">
        <x:v>0.625</x:v>
      </x:c>
      <x:c r="P226" s="26" t="n">
        <x:f>J226*E226+K226*F226+L226*G226+M226*H226</x:f>
        <x:v>0.6290283203125</x:v>
      </x:c>
      <x:c r="Q226" s="26" t="n">
        <x:f>J226*E226+K226*G226+L226*F226+M226*H226</x:f>
        <x:v>0.6260986328125</x:v>
      </x:c>
      <x:c r="R226" s="26" t="n">
        <x:f>(P226+Q226)/2</x:f>
        <x:v>0.6275634765625</x:v>
      </x:c>
      <x:c r="S226" s="26" t="n">
        <x:f>P226-Q226</x:f>
        <x:v>0.0029296875</x:v>
      </x:c>
      <x:c r="T226" s="26" t="n">
        <x:f>(P226-N226)^2+(Q226-O226)^2</x:f>
        <x:v>0.000017434358596801758</x:v>
      </x:c>
    </x:row>
    <x:row r="227">
      <x:c r="A227" t="str">
        <x:v>C</x:v>
      </x:c>
      <x:c r="B227" t="n">
        <x:v>24</x:v>
      </x:c>
      <x:c r="C227" t="str">
        <x:v>Case 3a(ii) (PD), mixed</x:v>
      </x:c>
      <x:c r="D227" t="str">
        <x:v>mixed reconstructed</x:v>
      </x:c>
      <x:c r="E227" s="26" t="n">
        <x:v>0.875</x:v>
      </x:c>
      <x:c r="F227" s="26" t="n">
        <x:v>0</x:v>
      </x:c>
      <x:c r="G227" s="26" t="n">
        <x:v>1</x:v>
      </x:c>
      <x:c r="H227" s="26" t="n">
        <x:v>0.375</x:v>
      </x:c>
      <x:c r="I227" t="str">
        <x:v>pi/2</x:v>
      </x:c>
      <x:c r="J227" s="26" t="n">
        <x:f>Mixed_Reconstructed!B27</x:f>
        <x:v>0.4921875</x:v>
      </x:c>
      <x:c r="K227" s="26" t="n">
        <x:f>Mixed_Reconstructed!C27</x:f>
        <x:v>0.0146484375</x:v>
      </x:c>
      <x:c r="L227" s="26" t="n">
        <x:f>Mixed_Reconstructed!D27</x:f>
        <x:v>0.0126953125</x:v>
      </x:c>
      <x:c r="M227" s="26" t="n">
        <x:f>Mixed_Reconstructed!E27</x:f>
        <x:v>0.48046875</x:v>
      </x:c>
      <x:c r="N227" s="26" t="n">
        <x:v>0.625</x:v>
      </x:c>
      <x:c r="O227" s="26" t="n">
        <x:v>0.625</x:v>
      </x:c>
      <x:c r="P227" s="26" t="n">
        <x:f>J227*E227+K227*F227+L227*G227+M227*H227</x:f>
        <x:v>0.62353515625</x:v>
      </x:c>
      <x:c r="Q227" s="26" t="n">
        <x:f>J227*E227+K227*G227+L227*F227+M227*H227</x:f>
        <x:v>0.62548828125</x:v>
      </x:c>
      <x:c r="R227" s="26" t="n">
        <x:f>(P227+Q227)/2</x:f>
        <x:v>0.62451171875</x:v>
      </x:c>
      <x:c r="S227" s="26" t="n">
        <x:f>P227-Q227</x:f>
        <x:v>-0.001953125</x:v>
      </x:c>
      <x:c r="T227" s="26" t="n">
        <x:f>(P227-N227)^2+(Q227-O227)^2</x:f>
        <x:v>0.000002384185791015625</x:v>
      </x:c>
    </x:row>
    <x:row r="228">
      <x:c r="A228" t="str">
        <x:v>C</x:v>
      </x:c>
      <x:c r="B228" t="n">
        <x:v>25</x:v>
      </x:c>
      <x:c r="C228" t="str">
        <x:v>Case 3a(ii) (PD), mixed</x:v>
      </x:c>
      <x:c r="D228" t="str">
        <x:v>mixed reconstructed</x:v>
      </x:c>
      <x:c r="E228" s="26" t="n">
        <x:v>0.875</x:v>
      </x:c>
      <x:c r="F228" s="26" t="n">
        <x:v>0</x:v>
      </x:c>
      <x:c r="G228" s="26" t="n">
        <x:v>1</x:v>
      </x:c>
      <x:c r="H228" s="26" t="n">
        <x:v>0.375</x:v>
      </x:c>
      <x:c r="I228" t="str">
        <x:v>pi/2</x:v>
      </x:c>
      <x:c r="J228" s="26" t="n">
        <x:f>Mixed_Reconstructed!B28</x:f>
        <x:v>0.4912109375</x:v>
      </x:c>
      <x:c r="K228" s="26" t="n">
        <x:f>Mixed_Reconstructed!C28</x:f>
        <x:v>0.015625</x:v>
      </x:c>
      <x:c r="L228" s="26" t="n">
        <x:f>Mixed_Reconstructed!D28</x:f>
        <x:v>0.01171875</x:v>
      </x:c>
      <x:c r="M228" s="26" t="n">
        <x:f>Mixed_Reconstructed!E28</x:f>
        <x:v>0.4814453125</x:v>
      </x:c>
      <x:c r="N228" s="26" t="n">
        <x:v>0.625</x:v>
      </x:c>
      <x:c r="O228" s="26" t="n">
        <x:v>0.625</x:v>
      </x:c>
      <x:c r="P228" s="26" t="n">
        <x:f>J228*E228+K228*F228+L228*G228+M228*H228</x:f>
        <x:v>0.6220703125</x:v>
      </x:c>
      <x:c r="Q228" s="26" t="n">
        <x:f>J228*E228+K228*G228+L228*F228+M228*H228</x:f>
        <x:v>0.6259765625</x:v>
      </x:c>
      <x:c r="R228" s="26" t="n">
        <x:f>(P228+Q228)/2</x:f>
        <x:v>0.6240234375</x:v>
      </x:c>
      <x:c r="S228" s="26" t="n">
        <x:f>P228-Q228</x:f>
        <x:v>-0.00390625</x:v>
      </x:c>
      <x:c r="T228" s="26" t="n">
        <x:f>(P228-N228)^2+(Q228-O228)^2</x:f>
        <x:v>0.0000095367431640625</x:v>
      </x:c>
    </x:row>
    <x:row r="229">
      <x:c r="A229" t="str">
        <x:v>C</x:v>
      </x:c>
      <x:c r="B229" t="n">
        <x:v>26</x:v>
      </x:c>
      <x:c r="C229" t="str">
        <x:v>Case 3a(ii) (PD), mixed</x:v>
      </x:c>
      <x:c r="D229" t="str">
        <x:v>mixed reconstructed</x:v>
      </x:c>
      <x:c r="E229" s="26" t="n">
        <x:v>0.875</x:v>
      </x:c>
      <x:c r="F229" s="26" t="n">
        <x:v>0</x:v>
      </x:c>
      <x:c r="G229" s="26" t="n">
        <x:v>1</x:v>
      </x:c>
      <x:c r="H229" s="26" t="n">
        <x:v>0.375</x:v>
      </x:c>
      <x:c r="I229" t="str">
        <x:v>pi/2</x:v>
      </x:c>
      <x:c r="J229" s="26" t="n">
        <x:f>Mixed_Reconstructed!B29</x:f>
        <x:v>0.5048828125</x:v>
      </x:c>
      <x:c r="K229" s="26" t="n">
        <x:f>Mixed_Reconstructed!C29</x:f>
        <x:v>0.0078125</x:v>
      </x:c>
      <x:c r="L229" s="26" t="n">
        <x:f>Mixed_Reconstructed!D29</x:f>
        <x:v>0.0048828125</x:v>
      </x:c>
      <x:c r="M229" s="26" t="n">
        <x:f>Mixed_Reconstructed!E29</x:f>
        <x:v>0.482421875</x:v>
      </x:c>
      <x:c r="N229" s="26" t="n">
        <x:v>0.625</x:v>
      </x:c>
      <x:c r="O229" s="26" t="n">
        <x:v>0.625</x:v>
      </x:c>
      <x:c r="P229" s="26" t="n">
        <x:f>J229*E229+K229*F229+L229*G229+M229*H229</x:f>
        <x:v>0.6275634765625</x:v>
      </x:c>
      <x:c r="Q229" s="26" t="n">
        <x:f>J229*E229+K229*G229+L229*F229+M229*H229</x:f>
        <x:v>0.6304931640625</x:v>
      </x:c>
      <x:c r="R229" s="26" t="n">
        <x:f>(P229+Q229)/2</x:f>
        <x:v>0.6290283203125</x:v>
      </x:c>
      <x:c r="S229" s="26" t="n">
        <x:f>P229-Q229</x:f>
        <x:v>-0.0029296875</x:v>
      </x:c>
      <x:c r="T229" s="26" t="n">
        <x:f>(P229-N229)^2+(Q229-O229)^2</x:f>
        <x:v>0.00003674626350402832</x:v>
      </x:c>
    </x:row>
    <x:row r="230">
      <x:c r="A230" t="str">
        <x:v>C</x:v>
      </x:c>
      <x:c r="B230" t="n">
        <x:v>27</x:v>
      </x:c>
      <x:c r="C230" t="str">
        <x:v>Case 3a(ii) (PD), mixed</x:v>
      </x:c>
      <x:c r="D230" t="str">
        <x:v>mixed reconstructed</x:v>
      </x:c>
      <x:c r="E230" s="26" t="n">
        <x:v>0.875</x:v>
      </x:c>
      <x:c r="F230" s="26" t="n">
        <x:v>0</x:v>
      </x:c>
      <x:c r="G230" s="26" t="n">
        <x:v>1</x:v>
      </x:c>
      <x:c r="H230" s="26" t="n">
        <x:v>0.375</x:v>
      </x:c>
      <x:c r="I230" t="str">
        <x:v>pi/2</x:v>
      </x:c>
      <x:c r="J230" s="26" t="n">
        <x:f>Mixed_Reconstructed!B30</x:f>
        <x:v>0.4951171875</x:v>
      </x:c>
      <x:c r="K230" s="26" t="n">
        <x:f>Mixed_Reconstructed!C30</x:f>
        <x:v>0.0068359375</x:v>
      </x:c>
      <x:c r="L230" s="26" t="n">
        <x:f>Mixed_Reconstructed!D30</x:f>
        <x:v>0.0078125</x:v>
      </x:c>
      <x:c r="M230" s="26" t="n">
        <x:f>Mixed_Reconstructed!E30</x:f>
        <x:v>0.490234375</x:v>
      </x:c>
      <x:c r="N230" s="26" t="n">
        <x:v>0.625</x:v>
      </x:c>
      <x:c r="O230" s="26" t="n">
        <x:v>0.625</x:v>
      </x:c>
      <x:c r="P230" s="26" t="n">
        <x:f>J230*E230+K230*F230+L230*G230+M230*H230</x:f>
        <x:v>0.6248779296875</x:v>
      </x:c>
      <x:c r="Q230" s="26" t="n">
        <x:f>J230*E230+K230*G230+L230*F230+M230*H230</x:f>
        <x:v>0.6239013671875</x:v>
      </x:c>
      <x:c r="R230" s="26" t="n">
        <x:f>(P230+Q230)/2</x:f>
        <x:v>0.6243896484375</x:v>
      </x:c>
      <x:c r="S230" s="26" t="n">
        <x:f>P230-Q230</x:f>
        <x:v>0.0009765625</x:v>
      </x:c>
      <x:c r="T230" s="26" t="n">
        <x:f>(P230-N230)^2+(Q230-O230)^2</x:f>
        <x:v>0.0000012218952178955078</x:v>
      </x:c>
    </x:row>
    <x:row r="231">
      <x:c r="A231" t="str">
        <x:v>C</x:v>
      </x:c>
      <x:c r="B231" t="n">
        <x:v>28</x:v>
      </x:c>
      <x:c r="C231" t="str">
        <x:v>Case 3a(ii) (PD), mixed</x:v>
      </x:c>
      <x:c r="D231" t="str">
        <x:v>mixed reconstructed</x:v>
      </x:c>
      <x:c r="E231" s="26" t="n">
        <x:v>0.875</x:v>
      </x:c>
      <x:c r="F231" s="26" t="n">
        <x:v>0</x:v>
      </x:c>
      <x:c r="G231" s="26" t="n">
        <x:v>1</x:v>
      </x:c>
      <x:c r="H231" s="26" t="n">
        <x:v>0.375</x:v>
      </x:c>
      <x:c r="I231" t="str">
        <x:v>pi/2</x:v>
      </x:c>
      <x:c r="J231" s="26" t="n">
        <x:f>Mixed_Reconstructed!B31</x:f>
        <x:v>0.4970703125</x:v>
      </x:c>
      <x:c r="K231" s="26" t="n">
        <x:f>Mixed_Reconstructed!C31</x:f>
        <x:v>0.0126953125</x:v>
      </x:c>
      <x:c r="L231" s="26" t="n">
        <x:f>Mixed_Reconstructed!D31</x:f>
        <x:v>0.0107421875</x:v>
      </x:c>
      <x:c r="M231" s="26" t="n">
        <x:f>Mixed_Reconstructed!E31</x:f>
        <x:v>0.4794921875</x:v>
      </x:c>
      <x:c r="N231" s="26" t="n">
        <x:v>0.625</x:v>
      </x:c>
      <x:c r="O231" s="26" t="n">
        <x:v>0.625</x:v>
      </x:c>
      <x:c r="P231" s="26" t="n">
        <x:f>J231*E231+K231*F231+L231*G231+M231*H231</x:f>
        <x:v>0.62548828125</x:v>
      </x:c>
      <x:c r="Q231" s="26" t="n">
        <x:f>J231*E231+K231*G231+L231*F231+M231*H231</x:f>
        <x:v>0.62744140625</x:v>
      </x:c>
      <x:c r="R231" s="26" t="n">
        <x:f>(P231+Q231)/2</x:f>
        <x:v>0.62646484375</x:v>
      </x:c>
      <x:c r="S231" s="26" t="n">
        <x:f>P231-Q231</x:f>
        <x:v>-0.001953125</x:v>
      </x:c>
      <x:c r="T231" s="26" t="n">
        <x:f>(P231-N231)^2+(Q231-O231)^2</x:f>
        <x:v>0.000006198883056640625</x:v>
      </x:c>
    </x:row>
    <x:row r="232">
      <x:c r="A232" t="str">
        <x:v>C</x:v>
      </x:c>
      <x:c r="B232" t="n">
        <x:v>29</x:v>
      </x:c>
      <x:c r="C232" t="str">
        <x:v>Case 3a(ii) (PD), mixed</x:v>
      </x:c>
      <x:c r="D232" t="str">
        <x:v>mixed reconstructed</x:v>
      </x:c>
      <x:c r="E232" s="26" t="n">
        <x:v>0.875</x:v>
      </x:c>
      <x:c r="F232" s="26" t="n">
        <x:v>0</x:v>
      </x:c>
      <x:c r="G232" s="26" t="n">
        <x:v>1</x:v>
      </x:c>
      <x:c r="H232" s="26" t="n">
        <x:v>0.375</x:v>
      </x:c>
      <x:c r="I232" t="str">
        <x:v>pi/2</x:v>
      </x:c>
      <x:c r="J232" s="26" t="n">
        <x:f>Mixed_Reconstructed!B32</x:f>
        <x:v>0.494140625</x:v>
      </x:c>
      <x:c r="K232" s="26" t="n">
        <x:f>Mixed_Reconstructed!C32</x:f>
        <x:v>0.015625</x:v>
      </x:c>
      <x:c r="L232" s="26" t="n">
        <x:f>Mixed_Reconstructed!D32</x:f>
        <x:v>0.01171875</x:v>
      </x:c>
      <x:c r="M232" s="26" t="n">
        <x:f>Mixed_Reconstructed!E32</x:f>
        <x:v>0.478515625</x:v>
      </x:c>
      <x:c r="N232" s="26" t="n">
        <x:v>0.625</x:v>
      </x:c>
      <x:c r="O232" s="26" t="n">
        <x:v>0.625</x:v>
      </x:c>
      <x:c r="P232" s="26" t="n">
        <x:f>J232*E232+K232*F232+L232*G232+M232*H232</x:f>
        <x:v>0.62353515625</x:v>
      </x:c>
      <x:c r="Q232" s="26" t="n">
        <x:f>J232*E232+K232*G232+L232*F232+M232*H232</x:f>
        <x:v>0.62744140625</x:v>
      </x:c>
      <x:c r="R232" s="26" t="n">
        <x:f>(P232+Q232)/2</x:f>
        <x:v>0.62548828125</x:v>
      </x:c>
      <x:c r="S232" s="26" t="n">
        <x:f>P232-Q232</x:f>
        <x:v>-0.00390625</x:v>
      </x:c>
      <x:c r="T232" s="26" t="n">
        <x:f>(P232-N232)^2+(Q232-O232)^2</x:f>
        <x:v>0.000008106231689453125</x:v>
      </x:c>
    </x:row>
    <x:row r="233">
      <x:c r="A233" t="str">
        <x:v>C</x:v>
      </x:c>
      <x:c r="B233" t="n">
        <x:v>30</x:v>
      </x:c>
      <x:c r="C233" t="str">
        <x:v>Case 3a(ii) (PD), mixed</x:v>
      </x:c>
      <x:c r="D233" t="str">
        <x:v>mixed reconstructed</x:v>
      </x:c>
      <x:c r="E233" s="26" t="n">
        <x:v>0.875</x:v>
      </x:c>
      <x:c r="F233" s="26" t="n">
        <x:v>0</x:v>
      </x:c>
      <x:c r="G233" s="26" t="n">
        <x:v>1</x:v>
      </x:c>
      <x:c r="H233" s="26" t="n">
        <x:v>0.375</x:v>
      </x:c>
      <x:c r="I233" t="str">
        <x:v>pi/2</x:v>
      </x:c>
      <x:c r="J233" s="26" t="n">
        <x:f>Mixed_Reconstructed!B33</x:f>
        <x:v>0.486328125</x:v>
      </x:c>
      <x:c r="K233" s="26" t="n">
        <x:f>Mixed_Reconstructed!C33</x:f>
        <x:v>0.0185546875</x:v>
      </x:c>
      <x:c r="L233" s="26" t="n">
        <x:f>Mixed_Reconstructed!D33</x:f>
        <x:v>0.009765625</x:v>
      </x:c>
      <x:c r="M233" s="26" t="n">
        <x:f>Mixed_Reconstructed!E33</x:f>
        <x:v>0.4853515625</x:v>
      </x:c>
      <x:c r="N233" s="26" t="n">
        <x:v>0.625</x:v>
      </x:c>
      <x:c r="O233" s="26" t="n">
        <x:v>0.625</x:v>
      </x:c>
      <x:c r="P233" s="26" t="n">
        <x:f>J233*E233+K233*F233+L233*G233+M233*H233</x:f>
        <x:v>0.6173095703125</x:v>
      </x:c>
      <x:c r="Q233" s="26" t="n">
        <x:f>J233*E233+K233*G233+L233*F233+M233*H233</x:f>
        <x:v>0.6260986328125</x:v>
      </x:c>
      <x:c r="R233" s="26" t="n">
        <x:f>(P233+Q233)/2</x:f>
        <x:v>0.6217041015625</x:v>
      </x:c>
      <x:c r="S233" s="26" t="n">
        <x:f>P233-Q233</x:f>
        <x:v>-0.0087890625</x:v>
      </x:c>
      <x:c r="T233" s="26" t="n">
        <x:f>(P233-N233)^2+(Q233-O233)^2</x:f>
        <x:v>0.00006034970283508301</x:v>
      </x:c>
    </x:row>
    <x:row r="234">
      <x:c r="A234" t="str">
        <x:v>C</x:v>
      </x:c>
      <x:c r="B234" t="n">
        <x:v>31</x:v>
      </x:c>
      <x:c r="C234" t="str">
        <x:v>Case 3a(ii) (PD), mixed</x:v>
      </x:c>
      <x:c r="D234" t="str">
        <x:v>mixed reconstructed</x:v>
      </x:c>
      <x:c r="E234" s="26" t="n">
        <x:v>0.875</x:v>
      </x:c>
      <x:c r="F234" s="26" t="n">
        <x:v>0</x:v>
      </x:c>
      <x:c r="G234" s="26" t="n">
        <x:v>1</x:v>
      </x:c>
      <x:c r="H234" s="26" t="n">
        <x:v>0.375</x:v>
      </x:c>
      <x:c r="I234" t="str">
        <x:v>pi/2</x:v>
      </x:c>
      <x:c r="J234" s="26" t="n">
        <x:f>Mixed_Reconstructed!B34</x:f>
        <x:v>0.4970703125</x:v>
      </x:c>
      <x:c r="K234" s="26" t="n">
        <x:f>Mixed_Reconstructed!C34</x:f>
        <x:v>0.0166015625</x:v>
      </x:c>
      <x:c r="L234" s="26" t="n">
        <x:f>Mixed_Reconstructed!D34</x:f>
        <x:v>0.0087890625</x:v>
      </x:c>
      <x:c r="M234" s="26" t="n">
        <x:f>Mixed_Reconstructed!E34</x:f>
        <x:v>0.4775390625</x:v>
      </x:c>
      <x:c r="N234" s="26" t="n">
        <x:v>0.625</x:v>
      </x:c>
      <x:c r="O234" s="26" t="n">
        <x:v>0.625</x:v>
      </x:c>
      <x:c r="P234" s="26" t="n">
        <x:f>J234*E234+K234*F234+L234*G234+M234*H234</x:f>
        <x:v>0.622802734375</x:v>
      </x:c>
      <x:c r="Q234" s="26" t="n">
        <x:f>J234*E234+K234*G234+L234*F234+M234*H234</x:f>
        <x:v>0.630615234375</x:v>
      </x:c>
      <x:c r="R234" s="26" t="n">
        <x:f>(P234+Q234)/2</x:f>
        <x:v>0.626708984375</x:v>
      </x:c>
      <x:c r="S234" s="26" t="n">
        <x:f>P234-Q234</x:f>
        <x:v>-0.0078125</x:v>
      </x:c>
      <x:c r="T234" s="26" t="n">
        <x:f>(P234-N234)^2+(Q234-O234)^2</x:f>
        <x:v>0.00003635883331298828</x:v>
      </x:c>
    </x:row>
    <x:row r="235">
      <x:c r="A235" t="str">
        <x:v>C</x:v>
      </x:c>
      <x:c r="B235" t="n">
        <x:v>32</x:v>
      </x:c>
      <x:c r="C235" t="str">
        <x:v>Case 3a(ii) (PD), mixed</x:v>
      </x:c>
      <x:c r="D235" t="str">
        <x:v>mixed reconstructed</x:v>
      </x:c>
      <x:c r="E235" s="26" t="n">
        <x:v>0.875</x:v>
      </x:c>
      <x:c r="F235" s="26" t="n">
        <x:v>0</x:v>
      </x:c>
      <x:c r="G235" s="26" t="n">
        <x:v>1</x:v>
      </x:c>
      <x:c r="H235" s="26" t="n">
        <x:v>0.375</x:v>
      </x:c>
      <x:c r="I235" t="str">
        <x:v>pi/2</x:v>
      </x:c>
      <x:c r="J235" s="26" t="n">
        <x:f>Mixed_Reconstructed!B35</x:f>
        <x:v>0.498046875</x:v>
      </x:c>
      <x:c r="K235" s="26" t="n">
        <x:f>Mixed_Reconstructed!C35</x:f>
        <x:v>0.0068359375</x:v>
      </x:c>
      <x:c r="L235" s="26" t="n">
        <x:f>Mixed_Reconstructed!D35</x:f>
        <x:v>0.0087890625</x:v>
      </x:c>
      <x:c r="M235" s="26" t="n">
        <x:f>Mixed_Reconstructed!E35</x:f>
        <x:v>0.486328125</x:v>
      </x:c>
      <x:c r="N235" s="26" t="n">
        <x:v>0.625</x:v>
      </x:c>
      <x:c r="O235" s="26" t="n">
        <x:v>0.625</x:v>
      </x:c>
      <x:c r="P235" s="26" t="n">
        <x:f>J235*E235+K235*F235+L235*G235+M235*H235</x:f>
        <x:v>0.626953125</x:v>
      </x:c>
      <x:c r="Q235" s="26" t="n">
        <x:f>J235*E235+K235*G235+L235*F235+M235*H235</x:f>
        <x:v>0.625</x:v>
      </x:c>
      <x:c r="R235" s="26" t="n">
        <x:f>(P235+Q235)/2</x:f>
        <x:v>0.6259765625</x:v>
      </x:c>
      <x:c r="S235" s="26" t="n">
        <x:f>P235-Q235</x:f>
        <x:v>0.001953125</x:v>
      </x:c>
      <x:c r="T235" s="26" t="n">
        <x:f>(P235-N235)^2+(Q235-O235)^2</x:f>
        <x:v>0.000003814697265625</x:v>
      </x:c>
    </x:row>
    <x:row r="236">
      <x:c r="A236" t="str">
        <x:v>C</x:v>
      </x:c>
      <x:c r="B236" t="n">
        <x:v>33</x:v>
      </x:c>
      <x:c r="C236" t="str">
        <x:v>Case 3a(ii) (PD), mixed</x:v>
      </x:c>
      <x:c r="D236" t="str">
        <x:v>mixed reconstructed</x:v>
      </x:c>
      <x:c r="E236" s="26" t="n">
        <x:v>0.875</x:v>
      </x:c>
      <x:c r="F236" s="26" t="n">
        <x:v>0</x:v>
      </x:c>
      <x:c r="G236" s="26" t="n">
        <x:v>1</x:v>
      </x:c>
      <x:c r="H236" s="26" t="n">
        <x:v>0.375</x:v>
      </x:c>
      <x:c r="I236" t="str">
        <x:v>pi/2</x:v>
      </x:c>
      <x:c r="J236" s="26" t="n">
        <x:f>Mixed_Reconstructed!B36</x:f>
        <x:v>0.498046875</x:v>
      </x:c>
      <x:c r="K236" s="26" t="n">
        <x:f>Mixed_Reconstructed!C36</x:f>
        <x:v>0.0087890625</x:v>
      </x:c>
      <x:c r="L236" s="26" t="n">
        <x:f>Mixed_Reconstructed!D36</x:f>
        <x:v>0.0126953125</x:v>
      </x:c>
      <x:c r="M236" s="26" t="n">
        <x:f>Mixed_Reconstructed!E36</x:f>
        <x:v>0.48046875</x:v>
      </x:c>
      <x:c r="N236" s="26" t="n">
        <x:v>0.625</x:v>
      </x:c>
      <x:c r="O236" s="26" t="n">
        <x:v>0.625</x:v>
      </x:c>
      <x:c r="P236" s="26" t="n">
        <x:f>J236*E236+K236*F236+L236*G236+M236*H236</x:f>
        <x:v>0.628662109375</x:v>
      </x:c>
      <x:c r="Q236" s="26" t="n">
        <x:f>J236*E236+K236*G236+L236*F236+M236*H236</x:f>
        <x:v>0.624755859375</x:v>
      </x:c>
      <x:c r="R236" s="26" t="n">
        <x:f>(P236+Q236)/2</x:f>
        <x:v>0.626708984375</x:v>
      </x:c>
      <x:c r="S236" s="26" t="n">
        <x:f>P236-Q236</x:f>
        <x:v>0.00390625</x:v>
      </x:c>
      <x:c r="T236" s="26" t="n">
        <x:f>(P236-N236)^2+(Q236-O236)^2</x:f>
        <x:v>0.000013470649719238281</x:v>
      </x:c>
    </x:row>
    <x:row r="237">
      <x:c r="A237" t="str">
        <x:v>C</x:v>
      </x:c>
      <x:c r="B237" t="n">
        <x:v>34</x:v>
      </x:c>
      <x:c r="C237" t="str">
        <x:v>Case 3a(ii) (PD), mixed</x:v>
      </x:c>
      <x:c r="D237" t="str">
        <x:v>mixed reconstructed</x:v>
      </x:c>
      <x:c r="E237" s="26" t="n">
        <x:v>0.875</x:v>
      </x:c>
      <x:c r="F237" s="26" t="n">
        <x:v>0</x:v>
      </x:c>
      <x:c r="G237" s="26" t="n">
        <x:v>1</x:v>
      </x:c>
      <x:c r="H237" s="26" t="n">
        <x:v>0.375</x:v>
      </x:c>
      <x:c r="I237" t="str">
        <x:v>pi/2</x:v>
      </x:c>
      <x:c r="J237" s="26" t="n">
        <x:f>Mixed_Reconstructed!B37</x:f>
        <x:v>0.49609375</x:v>
      </x:c>
      <x:c r="K237" s="26" t="n">
        <x:f>Mixed_Reconstructed!C37</x:f>
        <x:v>0.0087890625</x:v>
      </x:c>
      <x:c r="L237" s="26" t="n">
        <x:f>Mixed_Reconstructed!D37</x:f>
        <x:v>0.009765625</x:v>
      </x:c>
      <x:c r="M237" s="26" t="n">
        <x:f>Mixed_Reconstructed!E37</x:f>
        <x:v>0.4853515625</x:v>
      </x:c>
      <x:c r="N237" s="26" t="n">
        <x:v>0.625</x:v>
      </x:c>
      <x:c r="O237" s="26" t="n">
        <x:v>0.625</x:v>
      </x:c>
      <x:c r="P237" s="26" t="n">
        <x:f>J237*E237+K237*F237+L237*G237+M237*H237</x:f>
        <x:v>0.6258544921875</x:v>
      </x:c>
      <x:c r="Q237" s="26" t="n">
        <x:f>J237*E237+K237*G237+L237*F237+M237*H237</x:f>
        <x:v>0.6248779296875</x:v>
      </x:c>
      <x:c r="R237" s="26" t="n">
        <x:f>(P237+Q237)/2</x:f>
        <x:v>0.6253662109375</x:v>
      </x:c>
      <x:c r="S237" s="26" t="n">
        <x:f>P237-Q237</x:f>
        <x:v>0.0009765625</x:v>
      </x:c>
      <x:c r="T237" s="26" t="n">
        <x:f>(P237-N237)^2+(Q237-O237)^2</x:f>
        <x:v>7.450580596923828e-7</x:v>
      </x:c>
    </x:row>
    <x:row r="238">
      <x:c r="A238" t="str">
        <x:v>C</x:v>
      </x:c>
      <x:c r="B238" t="n">
        <x:v>35</x:v>
      </x:c>
      <x:c r="C238" t="str">
        <x:v>Case 3a(ii) (PD), mixed</x:v>
      </x:c>
      <x:c r="D238" t="str">
        <x:v>mixed reconstructed</x:v>
      </x:c>
      <x:c r="E238" s="26" t="n">
        <x:v>0.875</x:v>
      </x:c>
      <x:c r="F238" s="26" t="n">
        <x:v>0</x:v>
      </x:c>
      <x:c r="G238" s="26" t="n">
        <x:v>1</x:v>
      </x:c>
      <x:c r="H238" s="26" t="n">
        <x:v>0.375</x:v>
      </x:c>
      <x:c r="I238" t="str">
        <x:v>pi/2</x:v>
      </x:c>
      <x:c r="J238" s="26" t="n">
        <x:f>Mixed_Reconstructed!B38</x:f>
        <x:v>0.4970703125</x:v>
      </x:c>
      <x:c r="K238" s="26" t="n">
        <x:f>Mixed_Reconstructed!C38</x:f>
        <x:v>0.0126953125</x:v>
      </x:c>
      <x:c r="L238" s="26" t="n">
        <x:f>Mixed_Reconstructed!D38</x:f>
        <x:v>0.0048828125</x:v>
      </x:c>
      <x:c r="M238" s="26" t="n">
        <x:f>Mixed_Reconstructed!E38</x:f>
        <x:v>0.4853515625</x:v>
      </x:c>
      <x:c r="N238" s="26" t="n">
        <x:v>0.625</x:v>
      </x:c>
      <x:c r="O238" s="26" t="n">
        <x:v>0.625</x:v>
      </x:c>
      <x:c r="P238" s="26" t="n">
        <x:f>J238*E238+K238*F238+L238*G238+M238*H238</x:f>
        <x:v>0.621826171875</x:v>
      </x:c>
      <x:c r="Q238" s="26" t="n">
        <x:f>J238*E238+K238*G238+L238*F238+M238*H238</x:f>
        <x:v>0.629638671875</x:v>
      </x:c>
      <x:c r="R238" s="26" t="n">
        <x:f>(P238+Q238)/2</x:f>
        <x:v>0.625732421875</x:v>
      </x:c>
      <x:c r="S238" s="26" t="n">
        <x:f>P238-Q238</x:f>
        <x:v>-0.0078125</x:v>
      </x:c>
      <x:c r="T238" s="26" t="n">
        <x:f>(P238-N238)^2+(Q238-O238)^2</x:f>
        <x:v>0.00003159046173095703</x:v>
      </x:c>
    </x:row>
    <x:row r="239">
      <x:c r="A239" t="str">
        <x:v>C</x:v>
      </x:c>
      <x:c r="B239" t="n">
        <x:v>36</x:v>
      </x:c>
      <x:c r="C239" t="str">
        <x:v>Case 3a(ii) (PD), mixed</x:v>
      </x:c>
      <x:c r="D239" t="str">
        <x:v>mixed reconstructed</x:v>
      </x:c>
      <x:c r="E239" s="26" t="n">
        <x:v>0.875</x:v>
      </x:c>
      <x:c r="F239" s="26" t="n">
        <x:v>0</x:v>
      </x:c>
      <x:c r="G239" s="26" t="n">
        <x:v>1</x:v>
      </x:c>
      <x:c r="H239" s="26" t="n">
        <x:v>0.375</x:v>
      </x:c>
      <x:c r="I239" t="str">
        <x:v>pi/2</x:v>
      </x:c>
      <x:c r="J239" s="26" t="n">
        <x:f>Mixed_Reconstructed!B39</x:f>
        <x:v>0.49609375</x:v>
      </x:c>
      <x:c r="K239" s="26" t="n">
        <x:f>Mixed_Reconstructed!C39</x:f>
        <x:v>0.0107421875</x:v>
      </x:c>
      <x:c r="L239" s="26" t="n">
        <x:f>Mixed_Reconstructed!D39</x:f>
        <x:v>0.009765625</x:v>
      </x:c>
      <x:c r="M239" s="26" t="n">
        <x:f>Mixed_Reconstructed!E39</x:f>
        <x:v>0.4833984375</x:v>
      </x:c>
      <x:c r="N239" s="26" t="n">
        <x:v>0.625</x:v>
      </x:c>
      <x:c r="O239" s="26" t="n">
        <x:v>0.625</x:v>
      </x:c>
      <x:c r="P239" s="26" t="n">
        <x:f>J239*E239+K239*F239+L239*G239+M239*H239</x:f>
        <x:v>0.6251220703125</x:v>
      </x:c>
      <x:c r="Q239" s="26" t="n">
        <x:f>J239*E239+K239*G239+L239*F239+M239*H239</x:f>
        <x:v>0.6260986328125</x:v>
      </x:c>
      <x:c r="R239" s="26" t="n">
        <x:f>(P239+Q239)/2</x:f>
        <x:v>0.6256103515625</x:v>
      </x:c>
      <x:c r="S239" s="26" t="n">
        <x:f>P239-Q239</x:f>
        <x:v>-0.0009765625</x:v>
      </x:c>
      <x:c r="T239" s="26" t="n">
        <x:f>(P239-N239)^2+(Q239-O239)^2</x:f>
        <x:v>0.0000012218952178955078</x:v>
      </x:c>
    </x:row>
    <x:row r="240">
      <x:c r="A240" t="str">
        <x:v>C</x:v>
      </x:c>
      <x:c r="B240" t="n">
        <x:v>37</x:v>
      </x:c>
      <x:c r="C240" t="str">
        <x:v>Case 3a(ii) (PD), mixed</x:v>
      </x:c>
      <x:c r="D240" t="str">
        <x:v>mixed reconstructed</x:v>
      </x:c>
      <x:c r="E240" s="26" t="n">
        <x:v>0.875</x:v>
      </x:c>
      <x:c r="F240" s="26" t="n">
        <x:v>0</x:v>
      </x:c>
      <x:c r="G240" s="26" t="n">
        <x:v>1</x:v>
      </x:c>
      <x:c r="H240" s="26" t="n">
        <x:v>0.375</x:v>
      </x:c>
      <x:c r="I240" t="str">
        <x:v>pi/2</x:v>
      </x:c>
      <x:c r="J240" s="26" t="n">
        <x:f>Mixed_Reconstructed!B40</x:f>
        <x:v>0.4951171875</x:v>
      </x:c>
      <x:c r="K240" s="26" t="n">
        <x:f>Mixed_Reconstructed!C40</x:f>
        <x:v>0.0146484375</x:v>
      </x:c>
      <x:c r="L240" s="26" t="n">
        <x:f>Mixed_Reconstructed!D40</x:f>
        <x:v>0.0087890625</x:v>
      </x:c>
      <x:c r="M240" s="26" t="n">
        <x:f>Mixed_Reconstructed!E40</x:f>
        <x:v>0.4814453125</x:v>
      </x:c>
      <x:c r="N240" s="26" t="n">
        <x:v>0.625</x:v>
      </x:c>
      <x:c r="O240" s="26" t="n">
        <x:v>0.625</x:v>
      </x:c>
      <x:c r="P240" s="26" t="n">
        <x:f>J240*E240+K240*F240+L240*G240+M240*H240</x:f>
        <x:v>0.62255859375</x:v>
      </x:c>
      <x:c r="Q240" s="26" t="n">
        <x:f>J240*E240+K240*G240+L240*F240+M240*H240</x:f>
        <x:v>0.62841796875</x:v>
      </x:c>
      <x:c r="R240" s="26" t="n">
        <x:f>(P240+Q240)/2</x:f>
        <x:v>0.62548828125</x:v>
      </x:c>
      <x:c r="S240" s="26" t="n">
        <x:f>P240-Q240</x:f>
        <x:v>-0.005859375</x:v>
      </x:c>
      <x:c r="T240" s="26" t="n">
        <x:f>(P240-N240)^2+(Q240-O240)^2</x:f>
        <x:v>0.000017642974853515625</x:v>
      </x:c>
    </x:row>
    <x:row r="241">
      <x:c r="A241" t="str">
        <x:v>C</x:v>
      </x:c>
      <x:c r="B241" t="n">
        <x:v>38</x:v>
      </x:c>
      <x:c r="C241" t="str">
        <x:v>Case 3a(ii) (PD), mixed</x:v>
      </x:c>
      <x:c r="D241" t="str">
        <x:v>mixed reconstructed</x:v>
      </x:c>
      <x:c r="E241" s="26" t="n">
        <x:v>0.875</x:v>
      </x:c>
      <x:c r="F241" s="26" t="n">
        <x:v>0</x:v>
      </x:c>
      <x:c r="G241" s="26" t="n">
        <x:v>1</x:v>
      </x:c>
      <x:c r="H241" s="26" t="n">
        <x:v>0.375</x:v>
      </x:c>
      <x:c r="I241" t="str">
        <x:v>pi/2</x:v>
      </x:c>
      <x:c r="J241" s="26" t="n">
        <x:f>Mixed_Reconstructed!B41</x:f>
        <x:v>0.4931640625</x:v>
      </x:c>
      <x:c r="K241" s="26" t="n">
        <x:f>Mixed_Reconstructed!C41</x:f>
        <x:v>0.0107421875</x:v>
      </x:c>
      <x:c r="L241" s="26" t="n">
        <x:f>Mixed_Reconstructed!D41</x:f>
        <x:v>0.01171875</x:v>
      </x:c>
      <x:c r="M241" s="26" t="n">
        <x:f>Mixed_Reconstructed!E41</x:f>
        <x:v>0.484375</x:v>
      </x:c>
      <x:c r="N241" s="26" t="n">
        <x:v>0.625</x:v>
      </x:c>
      <x:c r="O241" s="26" t="n">
        <x:v>0.625</x:v>
      </x:c>
      <x:c r="P241" s="26" t="n">
        <x:f>J241*E241+K241*F241+L241*G241+M241*H241</x:f>
        <x:v>0.6248779296875</x:v>
      </x:c>
      <x:c r="Q241" s="26" t="n">
        <x:f>J241*E241+K241*G241+L241*F241+M241*H241</x:f>
        <x:v>0.6239013671875</x:v>
      </x:c>
      <x:c r="R241" s="26" t="n">
        <x:f>(P241+Q241)/2</x:f>
        <x:v>0.6243896484375</x:v>
      </x:c>
      <x:c r="S241" s="26" t="n">
        <x:f>P241-Q241</x:f>
        <x:v>0.0009765625</x:v>
      </x:c>
      <x:c r="T241" s="26" t="n">
        <x:f>(P241-N241)^2+(Q241-O241)^2</x:f>
        <x:v>0.0000012218952178955078</x:v>
      </x:c>
    </x:row>
    <x:row r="242">
      <x:c r="A242" t="str">
        <x:v>C</x:v>
      </x:c>
      <x:c r="B242" t="n">
        <x:v>39</x:v>
      </x:c>
      <x:c r="C242" t="str">
        <x:v>Case 3a(ii) (PD), mixed</x:v>
      </x:c>
      <x:c r="D242" t="str">
        <x:v>mixed reconstructed</x:v>
      </x:c>
      <x:c r="E242" s="26" t="n">
        <x:v>0.875</x:v>
      </x:c>
      <x:c r="F242" s="26" t="n">
        <x:v>0</x:v>
      </x:c>
      <x:c r="G242" s="26" t="n">
        <x:v>1</x:v>
      </x:c>
      <x:c r="H242" s="26" t="n">
        <x:v>0.375</x:v>
      </x:c>
      <x:c r="I242" t="str">
        <x:v>pi/2</x:v>
      </x:c>
      <x:c r="J242" s="26" t="n">
        <x:f>Mixed_Reconstructed!B42</x:f>
        <x:v>0.4873046875</x:v>
      </x:c>
      <x:c r="K242" s="26" t="n">
        <x:f>Mixed_Reconstructed!C42</x:f>
        <x:v>0.0126953125</x:v>
      </x:c>
      <x:c r="L242" s="26" t="n">
        <x:f>Mixed_Reconstructed!D42</x:f>
        <x:v>0.0166015625</x:v>
      </x:c>
      <x:c r="M242" s="26" t="n">
        <x:f>Mixed_Reconstructed!E42</x:f>
        <x:v>0.4833984375</x:v>
      </x:c>
      <x:c r="N242" s="26" t="n">
        <x:v>0.625</x:v>
      </x:c>
      <x:c r="O242" s="26" t="n">
        <x:v>0.625</x:v>
      </x:c>
      <x:c r="P242" s="26" t="n">
        <x:f>J242*E242+K242*F242+L242*G242+M242*H242</x:f>
        <x:v>0.624267578125</x:v>
      </x:c>
      <x:c r="Q242" s="26" t="n">
        <x:f>J242*E242+K242*G242+L242*F242+M242*H242</x:f>
        <x:v>0.620361328125</x:v>
      </x:c>
      <x:c r="R242" s="26" t="n">
        <x:f>(P242+Q242)/2</x:f>
        <x:v>0.622314453125</x:v>
      </x:c>
      <x:c r="S242" s="26" t="n">
        <x:f>P242-Q242</x:f>
        <x:v>0.00390625</x:v>
      </x:c>
      <x:c r="T242" s="26" t="n">
        <x:f>(P242-N242)^2+(Q242-O242)^2</x:f>
        <x:v>0.00002205371856689453</x:v>
      </x:c>
    </x:row>
    <x:row r="243">
      <x:c r="A243" t="str">
        <x:v>C</x:v>
      </x:c>
      <x:c r="B243" t="n">
        <x:v>40</x:v>
      </x:c>
      <x:c r="C243" t="str">
        <x:v>Case 3a(ii) (PD), mixed</x:v>
      </x:c>
      <x:c r="D243" t="str">
        <x:v>mixed reconstructed</x:v>
      </x:c>
      <x:c r="E243" s="26" t="n">
        <x:v>0.875</x:v>
      </x:c>
      <x:c r="F243" s="26" t="n">
        <x:v>0</x:v>
      </x:c>
      <x:c r="G243" s="26" t="n">
        <x:v>1</x:v>
      </x:c>
      <x:c r="H243" s="26" t="n">
        <x:v>0.375</x:v>
      </x:c>
      <x:c r="I243" t="str">
        <x:v>pi/2</x:v>
      </x:c>
      <x:c r="J243" s="26" t="n">
        <x:f>Mixed_Reconstructed!B43</x:f>
        <x:v>0.4970703125</x:v>
      </x:c>
      <x:c r="K243" s="26" t="n">
        <x:f>Mixed_Reconstructed!C43</x:f>
        <x:v>0.0107421875</x:v>
      </x:c>
      <x:c r="L243" s="26" t="n">
        <x:f>Mixed_Reconstructed!D43</x:f>
        <x:v>0.0146484375</x:v>
      </x:c>
      <x:c r="M243" s="26" t="n">
        <x:f>Mixed_Reconstructed!E43</x:f>
        <x:v>0.4775390625</x:v>
      </x:c>
      <x:c r="N243" s="26" t="n">
        <x:v>0.625</x:v>
      </x:c>
      <x:c r="O243" s="26" t="n">
        <x:v>0.625</x:v>
      </x:c>
      <x:c r="P243" s="26" t="n">
        <x:f>J243*E243+K243*F243+L243*G243+M243*H243</x:f>
        <x:v>0.628662109375</x:v>
      </x:c>
      <x:c r="Q243" s="26" t="n">
        <x:f>J243*E243+K243*G243+L243*F243+M243*H243</x:f>
        <x:v>0.624755859375</x:v>
      </x:c>
      <x:c r="R243" s="26" t="n">
        <x:f>(P243+Q243)/2</x:f>
        <x:v>0.626708984375</x:v>
      </x:c>
      <x:c r="S243" s="26" t="n">
        <x:f>P243-Q243</x:f>
        <x:v>0.00390625</x:v>
      </x:c>
      <x:c r="T243" s="26" t="n">
        <x:f>(P243-N243)^2+(Q243-O243)^2</x:f>
        <x:v>0.000013470649719238281</x:v>
      </x:c>
    </x:row>
    <x:row r="244">
      <x:c r="A244" t="str">
        <x:v>C</x:v>
      </x:c>
      <x:c r="B244" t="n">
        <x:v>41</x:v>
      </x:c>
      <x:c r="C244" t="str">
        <x:v>Case 3a(ii) (PD), mixed</x:v>
      </x:c>
      <x:c r="D244" t="str">
        <x:v>mixed reconstructed</x:v>
      </x:c>
      <x:c r="E244" s="26" t="n">
        <x:v>0.875</x:v>
      </x:c>
      <x:c r="F244" s="26" t="n">
        <x:v>0</x:v>
      </x:c>
      <x:c r="G244" s="26" t="n">
        <x:v>1</x:v>
      </x:c>
      <x:c r="H244" s="26" t="n">
        <x:v>0.375</x:v>
      </x:c>
      <x:c r="I244" t="str">
        <x:v>pi/2</x:v>
      </x:c>
      <x:c r="J244" s="26" t="n">
        <x:f>Mixed_Reconstructed!B44</x:f>
        <x:v>0.490234375</x:v>
      </x:c>
      <x:c r="K244" s="26" t="n">
        <x:f>Mixed_Reconstructed!C44</x:f>
        <x:v>0.013671875</x:v>
      </x:c>
      <x:c r="L244" s="26" t="n">
        <x:f>Mixed_Reconstructed!D44</x:f>
        <x:v>0.0078125</x:v>
      </x:c>
      <x:c r="M244" s="26" t="n">
        <x:f>Mixed_Reconstructed!E44</x:f>
        <x:v>0.48828125</x:v>
      </x:c>
      <x:c r="N244" s="26" t="n">
        <x:v>0.625</x:v>
      </x:c>
      <x:c r="O244" s="26" t="n">
        <x:v>0.625</x:v>
      </x:c>
      <x:c r="P244" s="26" t="n">
        <x:f>J244*E244+K244*F244+L244*G244+M244*H244</x:f>
        <x:v>0.619873046875</x:v>
      </x:c>
      <x:c r="Q244" s="26" t="n">
        <x:f>J244*E244+K244*G244+L244*F244+M244*H244</x:f>
        <x:v>0.625732421875</x:v>
      </x:c>
      <x:c r="R244" s="26" t="n">
        <x:f>(P244+Q244)/2</x:f>
        <x:v>0.622802734375</x:v>
      </x:c>
      <x:c r="S244" s="26" t="n">
        <x:f>P244-Q244</x:f>
        <x:v>-0.005859375</x:v>
      </x:c>
      <x:c r="T244" s="26" t="n">
        <x:f>(P244-N244)^2+(Q244-O244)^2</x:f>
        <x:v>0.00002682209014892578</x:v>
      </x:c>
    </x:row>
    <x:row r="245">
      <x:c r="A245" t="str">
        <x:v>C</x:v>
      </x:c>
      <x:c r="B245" t="n">
        <x:v>42</x:v>
      </x:c>
      <x:c r="C245" t="str">
        <x:v>Case 3a(ii) (PD), mixed</x:v>
      </x:c>
      <x:c r="D245" t="str">
        <x:v>mixed reconstructed</x:v>
      </x:c>
      <x:c r="E245" s="26" t="n">
        <x:v>0.875</x:v>
      </x:c>
      <x:c r="F245" s="26" t="n">
        <x:v>0</x:v>
      </x:c>
      <x:c r="G245" s="26" t="n">
        <x:v>1</x:v>
      </x:c>
      <x:c r="H245" s="26" t="n">
        <x:v>0.375</x:v>
      </x:c>
      <x:c r="I245" t="str">
        <x:v>pi/2</x:v>
      </x:c>
      <x:c r="J245" s="26" t="n">
        <x:f>Mixed_Reconstructed!B45</x:f>
        <x:v>0.49609375</x:v>
      </x:c>
      <x:c r="K245" s="26" t="n">
        <x:f>Mixed_Reconstructed!C45</x:f>
        <x:v>0.0126953125</x:v>
      </x:c>
      <x:c r="L245" s="26" t="n">
        <x:f>Mixed_Reconstructed!D45</x:f>
        <x:v>0.0126953125</x:v>
      </x:c>
      <x:c r="M245" s="26" t="n">
        <x:f>Mixed_Reconstructed!E45</x:f>
        <x:v>0.478515625</x:v>
      </x:c>
      <x:c r="N245" s="26" t="n">
        <x:v>0.625</x:v>
      </x:c>
      <x:c r="O245" s="26" t="n">
        <x:v>0.625</x:v>
      </x:c>
      <x:c r="P245" s="26" t="n">
        <x:f>J245*E245+K245*F245+L245*G245+M245*H245</x:f>
        <x:v>0.626220703125</x:v>
      </x:c>
      <x:c r="Q245" s="26" t="n">
        <x:f>J245*E245+K245*G245+L245*F245+M245*H245</x:f>
        <x:v>0.626220703125</x:v>
      </x:c>
      <x:c r="R245" s="26" t="n">
        <x:f>(P245+Q245)/2</x:f>
        <x:v>0.626220703125</x:v>
      </x:c>
      <x:c r="S245" s="26" t="n">
        <x:f>P245-Q245</x:f>
        <x:v>0</x:v>
      </x:c>
      <x:c r="T245" s="26" t="n">
        <x:f>(P245-N245)^2+(Q245-O245)^2</x:f>
        <x:v>0.0000029802322387695312</x:v>
      </x:c>
    </x:row>
    <x:row r="246">
      <x:c r="A246" t="str">
        <x:v>C</x:v>
      </x:c>
      <x:c r="B246" t="n">
        <x:v>43</x:v>
      </x:c>
      <x:c r="C246" t="str">
        <x:v>Case 3a(ii) (PD), mixed</x:v>
      </x:c>
      <x:c r="D246" t="str">
        <x:v>mixed reconstructed</x:v>
      </x:c>
      <x:c r="E246" s="26" t="n">
        <x:v>0.875</x:v>
      </x:c>
      <x:c r="F246" s="26" t="n">
        <x:v>0</x:v>
      </x:c>
      <x:c r="G246" s="26" t="n">
        <x:v>1</x:v>
      </x:c>
      <x:c r="H246" s="26" t="n">
        <x:v>0.375</x:v>
      </x:c>
      <x:c r="I246" t="str">
        <x:v>pi/2</x:v>
      </x:c>
      <x:c r="J246" s="26" t="n">
        <x:f>Mixed_Reconstructed!B46</x:f>
        <x:v>0.49609375</x:v>
      </x:c>
      <x:c r="K246" s="26" t="n">
        <x:f>Mixed_Reconstructed!C46</x:f>
        <x:v>0.0087890625</x:v>
      </x:c>
      <x:c r="L246" s="26" t="n">
        <x:f>Mixed_Reconstructed!D46</x:f>
        <x:v>0.0087890625</x:v>
      </x:c>
      <x:c r="M246" s="26" t="n">
        <x:f>Mixed_Reconstructed!E46</x:f>
        <x:v>0.486328125</x:v>
      </x:c>
      <x:c r="N246" s="26" t="n">
        <x:v>0.625</x:v>
      </x:c>
      <x:c r="O246" s="26" t="n">
        <x:v>0.625</x:v>
      </x:c>
      <x:c r="P246" s="26" t="n">
        <x:f>J246*E246+K246*F246+L246*G246+M246*H246</x:f>
        <x:v>0.625244140625</x:v>
      </x:c>
      <x:c r="Q246" s="26" t="n">
        <x:f>J246*E246+K246*G246+L246*F246+M246*H246</x:f>
        <x:v>0.625244140625</x:v>
      </x:c>
      <x:c r="R246" s="26" t="n">
        <x:f>(P246+Q246)/2</x:f>
        <x:v>0.625244140625</x:v>
      </x:c>
      <x:c r="S246" s="26" t="n">
        <x:f>P246-Q246</x:f>
        <x:v>0</x:v>
      </x:c>
      <x:c r="T246" s="26" t="n">
        <x:f>(P246-N246)^2+(Q246-O246)^2</x:f>
        <x:v>1.1920928955078125e-7</x:v>
      </x:c>
    </x:row>
    <x:row r="247">
      <x:c r="A247" t="str">
        <x:v>C</x:v>
      </x:c>
      <x:c r="B247" t="n">
        <x:v>44</x:v>
      </x:c>
      <x:c r="C247" t="str">
        <x:v>Case 3a(ii) (PD), mixed</x:v>
      </x:c>
      <x:c r="D247" t="str">
        <x:v>mixed reconstructed</x:v>
      </x:c>
      <x:c r="E247" s="26" t="n">
        <x:v>0.875</x:v>
      </x:c>
      <x:c r="F247" s="26" t="n">
        <x:v>0</x:v>
      </x:c>
      <x:c r="G247" s="26" t="n">
        <x:v>1</x:v>
      </x:c>
      <x:c r="H247" s="26" t="n">
        <x:v>0.375</x:v>
      </x:c>
      <x:c r="I247" t="str">
        <x:v>pi/2</x:v>
      </x:c>
      <x:c r="J247" s="26" t="n">
        <x:f>Mixed_Reconstructed!B47</x:f>
        <x:v>0.498046875</x:v>
      </x:c>
      <x:c r="K247" s="26" t="n">
        <x:f>Mixed_Reconstructed!C47</x:f>
        <x:v>0.0146484375</x:v>
      </x:c>
      <x:c r="L247" s="26" t="n">
        <x:f>Mixed_Reconstructed!D47</x:f>
        <x:v>0.009765625</x:v>
      </x:c>
      <x:c r="M247" s="26" t="n">
        <x:f>Mixed_Reconstructed!E47</x:f>
        <x:v>0.4775390625</x:v>
      </x:c>
      <x:c r="N247" s="26" t="n">
        <x:v>0.625</x:v>
      </x:c>
      <x:c r="O247" s="26" t="n">
        <x:v>0.625</x:v>
      </x:c>
      <x:c r="P247" s="26" t="n">
        <x:f>J247*E247+K247*F247+L247*G247+M247*H247</x:f>
        <x:v>0.6246337890625</x:v>
      </x:c>
      <x:c r="Q247" s="26" t="n">
        <x:f>J247*E247+K247*G247+L247*F247+M247*H247</x:f>
        <x:v>0.6295166015625</x:v>
      </x:c>
      <x:c r="R247" s="26" t="n">
        <x:f>(P247+Q247)/2</x:f>
        <x:v>0.6270751953125</x:v>
      </x:c>
      <x:c r="S247" s="26" t="n">
        <x:f>P247-Q247</x:f>
        <x:v>-0.0048828125</x:v>
      </x:c>
      <x:c r="T247" s="26" t="n">
        <x:f>(P247-N247)^2+(Q247-O247)^2</x:f>
        <x:v>0.00002053380012512207</x:v>
      </x:c>
    </x:row>
    <x:row r="248">
      <x:c r="A248" t="str">
        <x:v>C</x:v>
      </x:c>
      <x:c r="B248" t="n">
        <x:v>45</x:v>
      </x:c>
      <x:c r="C248" t="str">
        <x:v>Case 3a(ii) (PD), mixed</x:v>
      </x:c>
      <x:c r="D248" t="str">
        <x:v>mixed reconstructed</x:v>
      </x:c>
      <x:c r="E248" s="26" t="n">
        <x:v>0.875</x:v>
      </x:c>
      <x:c r="F248" s="26" t="n">
        <x:v>0</x:v>
      </x:c>
      <x:c r="G248" s="26" t="n">
        <x:v>1</x:v>
      </x:c>
      <x:c r="H248" s="26" t="n">
        <x:v>0.375</x:v>
      </x:c>
      <x:c r="I248" t="str">
        <x:v>pi/2</x:v>
      </x:c>
      <x:c r="J248" s="26" t="n">
        <x:f>Mixed_Reconstructed!B48</x:f>
        <x:v>0.4970703125</x:v>
      </x:c>
      <x:c r="K248" s="26" t="n">
        <x:f>Mixed_Reconstructed!C48</x:f>
        <x:v>0.0087890625</x:v>
      </x:c>
      <x:c r="L248" s="26" t="n">
        <x:f>Mixed_Reconstructed!D48</x:f>
        <x:v>0.0107421875</x:v>
      </x:c>
      <x:c r="M248" s="26" t="n">
        <x:f>Mixed_Reconstructed!E48</x:f>
        <x:v>0.4833984375</x:v>
      </x:c>
      <x:c r="N248" s="26" t="n">
        <x:v>0.625</x:v>
      </x:c>
      <x:c r="O248" s="26" t="n">
        <x:v>0.625</x:v>
      </x:c>
      <x:c r="P248" s="26" t="n">
        <x:f>J248*E248+K248*F248+L248*G248+M248*H248</x:f>
        <x:v>0.626953125</x:v>
      </x:c>
      <x:c r="Q248" s="26" t="n">
        <x:f>J248*E248+K248*G248+L248*F248+M248*H248</x:f>
        <x:v>0.625</x:v>
      </x:c>
      <x:c r="R248" s="26" t="n">
        <x:f>(P248+Q248)/2</x:f>
        <x:v>0.6259765625</x:v>
      </x:c>
      <x:c r="S248" s="26" t="n">
        <x:f>P248-Q248</x:f>
        <x:v>0.001953125</x:v>
      </x:c>
      <x:c r="T248" s="26" t="n">
        <x:f>(P248-N248)^2+(Q248-O248)^2</x:f>
        <x:v>0.000003814697265625</x:v>
      </x:c>
    </x:row>
    <x:row r="249">
      <x:c r="A249" t="str">
        <x:v>C</x:v>
      </x:c>
      <x:c r="B249" t="n">
        <x:v>46</x:v>
      </x:c>
      <x:c r="C249" t="str">
        <x:v>Case 3a(ii) (PD), mixed</x:v>
      </x:c>
      <x:c r="D249" t="str">
        <x:v>mixed reconstructed</x:v>
      </x:c>
      <x:c r="E249" s="26" t="n">
        <x:v>0.875</x:v>
      </x:c>
      <x:c r="F249" s="26" t="n">
        <x:v>0</x:v>
      </x:c>
      <x:c r="G249" s="26" t="n">
        <x:v>1</x:v>
      </x:c>
      <x:c r="H249" s="26" t="n">
        <x:v>0.375</x:v>
      </x:c>
      <x:c r="I249" t="str">
        <x:v>pi/2</x:v>
      </x:c>
      <x:c r="J249" s="26" t="n">
        <x:f>Mixed_Reconstructed!B49</x:f>
        <x:v>0.4931640625</x:v>
      </x:c>
      <x:c r="K249" s="26" t="n">
        <x:f>Mixed_Reconstructed!C49</x:f>
        <x:v>0.0185546875</x:v>
      </x:c>
      <x:c r="L249" s="26" t="n">
        <x:f>Mixed_Reconstructed!D49</x:f>
        <x:v>0.009765625</x:v>
      </x:c>
      <x:c r="M249" s="26" t="n">
        <x:f>Mixed_Reconstructed!E49</x:f>
        <x:v>0.478515625</x:v>
      </x:c>
      <x:c r="N249" s="26" t="n">
        <x:v>0.625</x:v>
      </x:c>
      <x:c r="O249" s="26" t="n">
        <x:v>0.625</x:v>
      </x:c>
      <x:c r="P249" s="26" t="n">
        <x:f>J249*E249+K249*F249+L249*G249+M249*H249</x:f>
        <x:v>0.6207275390625</x:v>
      </x:c>
      <x:c r="Q249" s="26" t="n">
        <x:f>J249*E249+K249*G249+L249*F249+M249*H249</x:f>
        <x:v>0.6295166015625</x:v>
      </x:c>
      <x:c r="R249" s="26" t="n">
        <x:f>(P249+Q249)/2</x:f>
        <x:v>0.6251220703125</x:v>
      </x:c>
      <x:c r="S249" s="26" t="n">
        <x:f>P249-Q249</x:f>
        <x:v>-0.0087890625</x:v>
      </x:c>
      <x:c r="T249" s="26" t="n">
        <x:f>(P249-N249)^2+(Q249-O249)^2</x:f>
        <x:v>0.00003865361213684082</x:v>
      </x:c>
    </x:row>
    <x:row r="250">
      <x:c r="A250" t="str">
        <x:v>C</x:v>
      </x:c>
      <x:c r="B250" t="n">
        <x:v>47</x:v>
      </x:c>
      <x:c r="C250" t="str">
        <x:v>Case 3a(ii) (PD), mixed</x:v>
      </x:c>
      <x:c r="D250" t="str">
        <x:v>mixed reconstructed</x:v>
      </x:c>
      <x:c r="E250" s="26" t="n">
        <x:v>0.875</x:v>
      </x:c>
      <x:c r="F250" s="26" t="n">
        <x:v>0</x:v>
      </x:c>
      <x:c r="G250" s="26" t="n">
        <x:v>1</x:v>
      </x:c>
      <x:c r="H250" s="26" t="n">
        <x:v>0.375</x:v>
      </x:c>
      <x:c r="I250" t="str">
        <x:v>pi/2</x:v>
      </x:c>
      <x:c r="J250" s="26" t="n">
        <x:f>Mixed_Reconstructed!B50</x:f>
        <x:v>0.4931640625</x:v>
      </x:c>
      <x:c r="K250" s="26" t="n">
        <x:f>Mixed_Reconstructed!C50</x:f>
        <x:v>0.01171875</x:v>
      </x:c>
      <x:c r="L250" s="26" t="n">
        <x:f>Mixed_Reconstructed!D50</x:f>
        <x:v>0.0107421875</x:v>
      </x:c>
      <x:c r="M250" s="26" t="n">
        <x:f>Mixed_Reconstructed!E50</x:f>
        <x:v>0.484375</x:v>
      </x:c>
      <x:c r="N250" s="26" t="n">
        <x:v>0.625</x:v>
      </x:c>
      <x:c r="O250" s="26" t="n">
        <x:v>0.625</x:v>
      </x:c>
      <x:c r="P250" s="26" t="n">
        <x:f>J250*E250+K250*F250+L250*G250+M250*H250</x:f>
        <x:v>0.6239013671875</x:v>
      </x:c>
      <x:c r="Q250" s="26" t="n">
        <x:f>J250*E250+K250*G250+L250*F250+M250*H250</x:f>
        <x:v>0.6248779296875</x:v>
      </x:c>
      <x:c r="R250" s="26" t="n">
        <x:f>(P250+Q250)/2</x:f>
        <x:v>0.6243896484375</x:v>
      </x:c>
      <x:c r="S250" s="26" t="n">
        <x:f>P250-Q250</x:f>
        <x:v>-0.0009765625</x:v>
      </x:c>
      <x:c r="T250" s="26" t="n">
        <x:f>(P250-N250)^2+(Q250-O250)^2</x:f>
        <x:v>0.0000012218952178955078</x:v>
      </x:c>
    </x:row>
    <x:row r="251">
      <x:c r="A251" t="str">
        <x:v>C</x:v>
      </x:c>
      <x:c r="B251" t="n">
        <x:v>48</x:v>
      </x:c>
      <x:c r="C251" t="str">
        <x:v>Case 3a(ii) (PD), mixed</x:v>
      </x:c>
      <x:c r="D251" t="str">
        <x:v>mixed reconstructed</x:v>
      </x:c>
      <x:c r="E251" s="26" t="n">
        <x:v>0.875</x:v>
      </x:c>
      <x:c r="F251" s="26" t="n">
        <x:v>0</x:v>
      </x:c>
      <x:c r="G251" s="26" t="n">
        <x:v>1</x:v>
      </x:c>
      <x:c r="H251" s="26" t="n">
        <x:v>0.375</x:v>
      </x:c>
      <x:c r="I251" t="str">
        <x:v>pi/2</x:v>
      </x:c>
      <x:c r="J251" s="26" t="n">
        <x:f>Mixed_Reconstructed!B51</x:f>
        <x:v>0.501953125</x:v>
      </x:c>
      <x:c r="K251" s="26" t="n">
        <x:f>Mixed_Reconstructed!C51</x:f>
        <x:v>0.009765625</x:v>
      </x:c>
      <x:c r="L251" s="26" t="n">
        <x:f>Mixed_Reconstructed!D51</x:f>
        <x:v>0.0068359375</x:v>
      </x:c>
      <x:c r="M251" s="26" t="n">
        <x:f>Mixed_Reconstructed!E51</x:f>
        <x:v>0.4814453125</x:v>
      </x:c>
      <x:c r="N251" s="26" t="n">
        <x:v>0.625</x:v>
      </x:c>
      <x:c r="O251" s="26" t="n">
        <x:v>0.625</x:v>
      </x:c>
      <x:c r="P251" s="26" t="n">
        <x:f>J251*E251+K251*F251+L251*G251+M251*H251</x:f>
        <x:v>0.6265869140625</x:v>
      </x:c>
      <x:c r="Q251" s="26" t="n">
        <x:f>J251*E251+K251*G251+L251*F251+M251*H251</x:f>
        <x:v>0.6295166015625</x:v>
      </x:c>
      <x:c r="R251" s="26" t="n">
        <x:f>(P251+Q251)/2</x:f>
        <x:v>0.6280517578125</x:v>
      </x:c>
      <x:c r="S251" s="26" t="n">
        <x:f>P251-Q251</x:f>
        <x:v>-0.0029296875</x:v>
      </x:c>
      <x:c r="T251" s="26" t="n">
        <x:f>(P251-N251)^2+(Q251-O251)^2</x:f>
        <x:v>0.000022917985916137695</x:v>
      </x:c>
    </x:row>
    <x:row r="252">
      <x:c r="A252" t="str">
        <x:v>C</x:v>
      </x:c>
      <x:c r="B252" t="n">
        <x:v>49</x:v>
      </x:c>
      <x:c r="C252" t="str">
        <x:v>Case 3a(ii) (PD), mixed</x:v>
      </x:c>
      <x:c r="D252" t="str">
        <x:v>mixed reconstructed</x:v>
      </x:c>
      <x:c r="E252" s="26" t="n">
        <x:v>0.875</x:v>
      </x:c>
      <x:c r="F252" s="26" t="n">
        <x:v>0</x:v>
      </x:c>
      <x:c r="G252" s="26" t="n">
        <x:v>1</x:v>
      </x:c>
      <x:c r="H252" s="26" t="n">
        <x:v>0.375</x:v>
      </x:c>
      <x:c r="I252" t="str">
        <x:v>pi/2</x:v>
      </x:c>
      <x:c r="J252" s="26" t="n">
        <x:f>Mixed_Reconstructed!B52</x:f>
        <x:v>0.4951171875</x:v>
      </x:c>
      <x:c r="K252" s="26" t="n">
        <x:f>Mixed_Reconstructed!C52</x:f>
        <x:v>0.0126953125</x:v>
      </x:c>
      <x:c r="L252" s="26" t="n">
        <x:f>Mixed_Reconstructed!D52</x:f>
        <x:v>0.005859375</x:v>
      </x:c>
      <x:c r="M252" s="26" t="n">
        <x:f>Mixed_Reconstructed!E52</x:f>
        <x:v>0.486328125</x:v>
      </x:c>
      <x:c r="N252" s="26" t="n">
        <x:v>0.625</x:v>
      </x:c>
      <x:c r="O252" s="26" t="n">
        <x:v>0.625</x:v>
      </x:c>
      <x:c r="P252" s="26" t="n">
        <x:f>J252*E252+K252*F252+L252*G252+M252*H252</x:f>
        <x:v>0.6214599609375</x:v>
      </x:c>
      <x:c r="Q252" s="26" t="n">
        <x:f>J252*E252+K252*G252+L252*F252+M252*H252</x:f>
        <x:v>0.6282958984375</x:v>
      </x:c>
      <x:c r="R252" s="26" t="n">
        <x:f>(P252+Q252)/2</x:f>
        <x:v>0.6248779296875</x:v>
      </x:c>
      <x:c r="S252" s="26" t="n">
        <x:f>P252-Q252</x:f>
        <x:v>-0.0068359375</x:v>
      </x:c>
      <x:c r="T252" s="26" t="n">
        <x:f>(P252-N252)^2+(Q252-O252)^2</x:f>
        <x:v>0.00002339482307434082</x:v>
      </x:c>
    </x:row>
    <x:row r="253">
      <x:c r="A253" t="str">
        <x:v>C</x:v>
      </x:c>
      <x:c r="B253" t="n">
        <x:v>50</x:v>
      </x:c>
      <x:c r="C253" t="str">
        <x:v>Case 3a(ii) (PD), mixed</x:v>
      </x:c>
      <x:c r="D253" t="str">
        <x:v>mixed reconstructed</x:v>
      </x:c>
      <x:c r="E253" s="26" t="n">
        <x:v>0.875</x:v>
      </x:c>
      <x:c r="F253" s="26" t="n">
        <x:v>0</x:v>
      </x:c>
      <x:c r="G253" s="26" t="n">
        <x:v>1</x:v>
      </x:c>
      <x:c r="H253" s="26" t="n">
        <x:v>0.375</x:v>
      </x:c>
      <x:c r="I253" t="str">
        <x:v>pi/2</x:v>
      </x:c>
      <x:c r="J253" s="26" t="n">
        <x:f>Mixed_Reconstructed!B53</x:f>
        <x:v>0.49609375</x:v>
      </x:c>
      <x:c r="K253" s="26" t="n">
        <x:f>Mixed_Reconstructed!C53</x:f>
        <x:v>0.01171875</x:v>
      </x:c>
      <x:c r="L253" s="26" t="n">
        <x:f>Mixed_Reconstructed!D53</x:f>
        <x:v>0.0087890625</x:v>
      </x:c>
      <x:c r="M253" s="26" t="n">
        <x:f>Mixed_Reconstructed!E53</x:f>
        <x:v>0.4833984375</x:v>
      </x:c>
      <x:c r="N253" s="26" t="n">
        <x:v>0.625</x:v>
      </x:c>
      <x:c r="O253" s="26" t="n">
        <x:v>0.625</x:v>
      </x:c>
      <x:c r="P253" s="26" t="n">
        <x:f>J253*E253+K253*F253+L253*G253+M253*H253</x:f>
        <x:v>0.6241455078125</x:v>
      </x:c>
      <x:c r="Q253" s="26" t="n">
        <x:f>J253*E253+K253*G253+L253*F253+M253*H253</x:f>
        <x:v>0.6270751953125</x:v>
      </x:c>
      <x:c r="R253" s="26" t="n">
        <x:f>(P253+Q253)/2</x:f>
        <x:v>0.6256103515625</x:v>
      </x:c>
      <x:c r="S253" s="26" t="n">
        <x:f>P253-Q253</x:f>
        <x:v>-0.0029296875</x:v>
      </x:c>
      <x:c r="T253" s="26" t="n">
        <x:f>(P253-N253)^2+(Q253-O253)^2</x:f>
        <x:v>0.000005036592483520508</x:v>
      </x:c>
    </x:row>
    <x:row r="254">
      <x:c r="A254" t="str">
        <x:v>C</x:v>
      </x:c>
      <x:c r="B254" t="n">
        <x:v>51</x:v>
      </x:c>
      <x:c r="C254" t="str">
        <x:v>Case 3a(ii) (PD), mixed</x:v>
      </x:c>
      <x:c r="D254" t="str">
        <x:v>mixed reconstructed</x:v>
      </x:c>
      <x:c r="E254" s="26" t="n">
        <x:v>0.875</x:v>
      </x:c>
      <x:c r="F254" s="26" t="n">
        <x:v>0</x:v>
      </x:c>
      <x:c r="G254" s="26" t="n">
        <x:v>1</x:v>
      </x:c>
      <x:c r="H254" s="26" t="n">
        <x:v>0.375</x:v>
      </x:c>
      <x:c r="I254" t="str">
        <x:v>pi/2</x:v>
      </x:c>
      <x:c r="J254" s="26" t="n">
        <x:f>Mixed_Reconstructed!B54</x:f>
        <x:v>0.4990234375</x:v>
      </x:c>
      <x:c r="K254" s="26" t="n">
        <x:f>Mixed_Reconstructed!C54</x:f>
        <x:v>0.009765625</x:v>
      </x:c>
      <x:c r="L254" s="26" t="n">
        <x:f>Mixed_Reconstructed!D54</x:f>
        <x:v>0.0078125</x:v>
      </x:c>
      <x:c r="M254" s="26" t="n">
        <x:f>Mixed_Reconstructed!E54</x:f>
        <x:v>0.4833984375</x:v>
      </x:c>
      <x:c r="N254" s="26" t="n">
        <x:v>0.625</x:v>
      </x:c>
      <x:c r="O254" s="26" t="n">
        <x:v>0.625</x:v>
      </x:c>
      <x:c r="P254" s="26" t="n">
        <x:f>J254*E254+K254*F254+L254*G254+M254*H254</x:f>
        <x:v>0.625732421875</x:v>
      </x:c>
      <x:c r="Q254" s="26" t="n">
        <x:f>J254*E254+K254*G254+L254*F254+M254*H254</x:f>
        <x:v>0.627685546875</x:v>
      </x:c>
      <x:c r="R254" s="26" t="n">
        <x:f>(P254+Q254)/2</x:f>
        <x:v>0.626708984375</x:v>
      </x:c>
      <x:c r="S254" s="26" t="n">
        <x:f>P254-Q254</x:f>
        <x:v>-0.001953125</x:v>
      </x:c>
      <x:c r="T254" s="26" t="n">
        <x:f>(P254-N254)^2+(Q254-O254)^2</x:f>
        <x:v>0.000007748603820800781</x:v>
      </x:c>
    </x:row>
    <x:row r="255">
      <x:c r="A255" t="str">
        <x:v>C</x:v>
      </x:c>
      <x:c r="B255" t="n">
        <x:v>52</x:v>
      </x:c>
      <x:c r="C255" t="str">
        <x:v>Case 3a(ii) (PD), mixed</x:v>
      </x:c>
      <x:c r="D255" t="str">
        <x:v>mixed reconstructed</x:v>
      </x:c>
      <x:c r="E255" s="26" t="n">
        <x:v>0.875</x:v>
      </x:c>
      <x:c r="F255" s="26" t="n">
        <x:v>0</x:v>
      </x:c>
      <x:c r="G255" s="26" t="n">
        <x:v>1</x:v>
      </x:c>
      <x:c r="H255" s="26" t="n">
        <x:v>0.375</x:v>
      </x:c>
      <x:c r="I255" t="str">
        <x:v>pi/2</x:v>
      </x:c>
      <x:c r="J255" s="26" t="n">
        <x:f>Mixed_Reconstructed!B55</x:f>
        <x:v>0.4951171875</x:v>
      </x:c>
      <x:c r="K255" s="26" t="n">
        <x:f>Mixed_Reconstructed!C55</x:f>
        <x:v>0.009765625</x:v>
      </x:c>
      <x:c r="L255" s="26" t="n">
        <x:f>Mixed_Reconstructed!D55</x:f>
        <x:v>0.0048828125</x:v>
      </x:c>
      <x:c r="M255" s="26" t="n">
        <x:f>Mixed_Reconstructed!E55</x:f>
        <x:v>0.490234375</x:v>
      </x:c>
      <x:c r="N255" s="26" t="n">
        <x:v>0.625</x:v>
      </x:c>
      <x:c r="O255" s="26" t="n">
        <x:v>0.625</x:v>
      </x:c>
      <x:c r="P255" s="26" t="n">
        <x:f>J255*E255+K255*F255+L255*G255+M255*H255</x:f>
        <x:v>0.6219482421875</x:v>
      </x:c>
      <x:c r="Q255" s="26" t="n">
        <x:f>J255*E255+K255*G255+L255*F255+M255*H255</x:f>
        <x:v>0.6268310546875</x:v>
      </x:c>
      <x:c r="R255" s="26" t="n">
        <x:f>(P255+Q255)/2</x:f>
        <x:v>0.6243896484375</x:v>
      </x:c>
      <x:c r="S255" s="26" t="n">
        <x:f>P255-Q255</x:f>
        <x:v>-0.0048828125</x:v>
      </x:c>
      <x:c r="T255" s="26" t="n">
        <x:f>(P255-N255)^2+(Q255-O255)^2</x:f>
        <x:v>0.000012665987014770508</x:v>
      </x:c>
    </x:row>
    <x:row r="256">
      <x:c r="A256" t="str">
        <x:v>C</x:v>
      </x:c>
      <x:c r="B256" t="n">
        <x:v>53</x:v>
      </x:c>
      <x:c r="C256" t="str">
        <x:v>Case 3a(ii) (PD), mixed</x:v>
      </x:c>
      <x:c r="D256" t="str">
        <x:v>mixed reconstructed</x:v>
      </x:c>
      <x:c r="E256" s="26" t="n">
        <x:v>0.875</x:v>
      </x:c>
      <x:c r="F256" s="26" t="n">
        <x:v>0</x:v>
      </x:c>
      <x:c r="G256" s="26" t="n">
        <x:v>1</x:v>
      </x:c>
      <x:c r="H256" s="26" t="n">
        <x:v>0.375</x:v>
      </x:c>
      <x:c r="I256" t="str">
        <x:v>pi/2</x:v>
      </x:c>
      <x:c r="J256" s="26" t="n">
        <x:f>Mixed_Reconstructed!B56</x:f>
        <x:v>0.4970703125</x:v>
      </x:c>
      <x:c r="K256" s="26" t="n">
        <x:f>Mixed_Reconstructed!C56</x:f>
        <x:v>0.0126953125</x:v>
      </x:c>
      <x:c r="L256" s="26" t="n">
        <x:f>Mixed_Reconstructed!D56</x:f>
        <x:v>0.0087890625</x:v>
      </x:c>
      <x:c r="M256" s="26" t="n">
        <x:f>Mixed_Reconstructed!E56</x:f>
        <x:v>0.4814453125</x:v>
      </x:c>
      <x:c r="N256" s="26" t="n">
        <x:v>0.625</x:v>
      </x:c>
      <x:c r="O256" s="26" t="n">
        <x:v>0.625</x:v>
      </x:c>
      <x:c r="P256" s="26" t="n">
        <x:f>J256*E256+K256*F256+L256*G256+M256*H256</x:f>
        <x:v>0.624267578125</x:v>
      </x:c>
      <x:c r="Q256" s="26" t="n">
        <x:f>J256*E256+K256*G256+L256*F256+M256*H256</x:f>
        <x:v>0.628173828125</x:v>
      </x:c>
      <x:c r="R256" s="26" t="n">
        <x:f>(P256+Q256)/2</x:f>
        <x:v>0.626220703125</x:v>
      </x:c>
      <x:c r="S256" s="26" t="n">
        <x:f>P256-Q256</x:f>
        <x:v>-0.00390625</x:v>
      </x:c>
      <x:c r="T256" s="26" t="n">
        <x:f>(P256-N256)^2+(Q256-O256)^2</x:f>
        <x:v>0.000010609626770019531</x:v>
      </x:c>
    </x:row>
    <x:row r="257">
      <x:c r="A257" t="str">
        <x:v>C</x:v>
      </x:c>
      <x:c r="B257" t="n">
        <x:v>54</x:v>
      </x:c>
      <x:c r="C257" t="str">
        <x:v>Case 3a(ii) (PD), mixed</x:v>
      </x:c>
      <x:c r="D257" t="str">
        <x:v>mixed reconstructed</x:v>
      </x:c>
      <x:c r="E257" s="26" t="n">
        <x:v>0.875</x:v>
      </x:c>
      <x:c r="F257" s="26" t="n">
        <x:v>0</x:v>
      </x:c>
      <x:c r="G257" s="26" t="n">
        <x:v>1</x:v>
      </x:c>
      <x:c r="H257" s="26" t="n">
        <x:v>0.375</x:v>
      </x:c>
      <x:c r="I257" t="str">
        <x:v>pi/2</x:v>
      </x:c>
      <x:c r="J257" s="26" t="n">
        <x:f>Mixed_Reconstructed!B57</x:f>
        <x:v>0.5</x:v>
      </x:c>
      <x:c r="K257" s="26" t="n">
        <x:f>Mixed_Reconstructed!C57</x:f>
        <x:v>0.0146484375</x:v>
      </x:c>
      <x:c r="L257" s="26" t="n">
        <x:f>Mixed_Reconstructed!D57</x:f>
        <x:v>0.0048828125</x:v>
      </x:c>
      <x:c r="M257" s="26" t="n">
        <x:f>Mixed_Reconstructed!E57</x:f>
        <x:v>0.48046875</x:v>
      </x:c>
      <x:c r="N257" s="26" t="n">
        <x:v>0.625</x:v>
      </x:c>
      <x:c r="O257" s="26" t="n">
        <x:v>0.625</x:v>
      </x:c>
      <x:c r="P257" s="26" t="n">
        <x:f>J257*E257+K257*F257+L257*G257+M257*H257</x:f>
        <x:v>0.62255859375</x:v>
      </x:c>
      <x:c r="Q257" s="26" t="n">
        <x:f>J257*E257+K257*G257+L257*F257+M257*H257</x:f>
        <x:v>0.63232421875</x:v>
      </x:c>
      <x:c r="R257" s="26" t="n">
        <x:f>(P257+Q257)/2</x:f>
        <x:v>0.62744140625</x:v>
      </x:c>
      <x:c r="S257" s="26" t="n">
        <x:f>P257-Q257</x:f>
        <x:v>-0.009765625</x:v>
      </x:c>
      <x:c r="T257" s="26" t="n">
        <x:f>(P257-N257)^2+(Q257-O257)^2</x:f>
        <x:v>0.000059604644775390625</x:v>
      </x:c>
    </x:row>
    <x:row r="258">
      <x:c r="A258" t="str">
        <x:v>C</x:v>
      </x:c>
      <x:c r="B258" t="n">
        <x:v>55</x:v>
      </x:c>
      <x:c r="C258" t="str">
        <x:v>Case 3a(ii) (PD), mixed</x:v>
      </x:c>
      <x:c r="D258" t="str">
        <x:v>mixed reconstructed</x:v>
      </x:c>
      <x:c r="E258" s="26" t="n">
        <x:v>0.875</x:v>
      </x:c>
      <x:c r="F258" s="26" t="n">
        <x:v>0</x:v>
      </x:c>
      <x:c r="G258" s="26" t="n">
        <x:v>1</x:v>
      </x:c>
      <x:c r="H258" s="26" t="n">
        <x:v>0.375</x:v>
      </x:c>
      <x:c r="I258" t="str">
        <x:v>pi/2</x:v>
      </x:c>
      <x:c r="J258" s="26" t="n">
        <x:f>Mixed_Reconstructed!B58</x:f>
        <x:v>0.494140625</x:v>
      </x:c>
      <x:c r="K258" s="26" t="n">
        <x:f>Mixed_Reconstructed!C58</x:f>
        <x:v>0.015625</x:v>
      </x:c>
      <x:c r="L258" s="26" t="n">
        <x:f>Mixed_Reconstructed!D58</x:f>
        <x:v>0.01171875</x:v>
      </x:c>
      <x:c r="M258" s="26" t="n">
        <x:f>Mixed_Reconstructed!E58</x:f>
        <x:v>0.478515625</x:v>
      </x:c>
      <x:c r="N258" s="26" t="n">
        <x:v>0.625</x:v>
      </x:c>
      <x:c r="O258" s="26" t="n">
        <x:v>0.625</x:v>
      </x:c>
      <x:c r="P258" s="26" t="n">
        <x:f>J258*E258+K258*F258+L258*G258+M258*H258</x:f>
        <x:v>0.62353515625</x:v>
      </x:c>
      <x:c r="Q258" s="26" t="n">
        <x:f>J258*E258+K258*G258+L258*F258+M258*H258</x:f>
        <x:v>0.62744140625</x:v>
      </x:c>
      <x:c r="R258" s="26" t="n">
        <x:f>(P258+Q258)/2</x:f>
        <x:v>0.62548828125</x:v>
      </x:c>
      <x:c r="S258" s="26" t="n">
        <x:f>P258-Q258</x:f>
        <x:v>-0.00390625</x:v>
      </x:c>
      <x:c r="T258" s="26" t="n">
        <x:f>(P258-N258)^2+(Q258-O258)^2</x:f>
        <x:v>0.000008106231689453125</x:v>
      </x:c>
    </x:row>
    <x:row r="259">
      <x:c r="A259" t="str">
        <x:v>C</x:v>
      </x:c>
      <x:c r="B259" t="n">
        <x:v>56</x:v>
      </x:c>
      <x:c r="C259" t="str">
        <x:v>Case 3a(ii) (PD), mixed</x:v>
      </x:c>
      <x:c r="D259" t="str">
        <x:v>mixed reconstructed</x:v>
      </x:c>
      <x:c r="E259" s="26" t="n">
        <x:v>0.875</x:v>
      </x:c>
      <x:c r="F259" s="26" t="n">
        <x:v>0</x:v>
      </x:c>
      <x:c r="G259" s="26" t="n">
        <x:v>1</x:v>
      </x:c>
      <x:c r="H259" s="26" t="n">
        <x:v>0.375</x:v>
      </x:c>
      <x:c r="I259" t="str">
        <x:v>pi/2</x:v>
      </x:c>
      <x:c r="J259" s="26" t="n">
        <x:f>Mixed_Reconstructed!B59</x:f>
        <x:v>0.4990234375</x:v>
      </x:c>
      <x:c r="K259" s="26" t="n">
        <x:f>Mixed_Reconstructed!C59</x:f>
        <x:v>0.0126953125</x:v>
      </x:c>
      <x:c r="L259" s="26" t="n">
        <x:f>Mixed_Reconstructed!D59</x:f>
        <x:v>0.0087890625</x:v>
      </x:c>
      <x:c r="M259" s="26" t="n">
        <x:f>Mixed_Reconstructed!E59</x:f>
        <x:v>0.4794921875</x:v>
      </x:c>
      <x:c r="N259" s="26" t="n">
        <x:v>0.625</x:v>
      </x:c>
      <x:c r="O259" s="26" t="n">
        <x:v>0.625</x:v>
      </x:c>
      <x:c r="P259" s="26" t="n">
        <x:f>J259*E259+K259*F259+L259*G259+M259*H259</x:f>
        <x:v>0.625244140625</x:v>
      </x:c>
      <x:c r="Q259" s="26" t="n">
        <x:f>J259*E259+K259*G259+L259*F259+M259*H259</x:f>
        <x:v>0.629150390625</x:v>
      </x:c>
      <x:c r="R259" s="26" t="n">
        <x:f>(P259+Q259)/2</x:f>
        <x:v>0.627197265625</x:v>
      </x:c>
      <x:c r="S259" s="26" t="n">
        <x:f>P259-Q259</x:f>
        <x:v>-0.00390625</x:v>
      </x:c>
      <x:c r="T259" s="26" t="n">
        <x:f>(P259-N259)^2+(Q259-O259)^2</x:f>
        <x:v>0.00001728534698486328</x:v>
      </x:c>
    </x:row>
    <x:row r="260">
      <x:c r="A260" t="str">
        <x:v>C</x:v>
      </x:c>
      <x:c r="B260" t="n">
        <x:v>57</x:v>
      </x:c>
      <x:c r="C260" t="str">
        <x:v>Case 3a(ii) (PD), mixed</x:v>
      </x:c>
      <x:c r="D260" t="str">
        <x:v>mixed reconstructed</x:v>
      </x:c>
      <x:c r="E260" s="26" t="n">
        <x:v>0.875</x:v>
      </x:c>
      <x:c r="F260" s="26" t="n">
        <x:v>0</x:v>
      </x:c>
      <x:c r="G260" s="26" t="n">
        <x:v>1</x:v>
      </x:c>
      <x:c r="H260" s="26" t="n">
        <x:v>0.375</x:v>
      </x:c>
      <x:c r="I260" t="str">
        <x:v>pi/2</x:v>
      </x:c>
      <x:c r="J260" s="26" t="n">
        <x:f>Mixed_Reconstructed!B60</x:f>
        <x:v>0.4921875</x:v>
      </x:c>
      <x:c r="K260" s="26" t="n">
        <x:f>Mixed_Reconstructed!C60</x:f>
        <x:v>0.0146484375</x:v>
      </x:c>
      <x:c r="L260" s="26" t="n">
        <x:f>Mixed_Reconstructed!D60</x:f>
        <x:v>0.0107421875</x:v>
      </x:c>
      <x:c r="M260" s="26" t="n">
        <x:f>Mixed_Reconstructed!E60</x:f>
        <x:v>0.482421875</x:v>
      </x:c>
      <x:c r="N260" s="26" t="n">
        <x:v>0.625</x:v>
      </x:c>
      <x:c r="O260" s="26" t="n">
        <x:v>0.625</x:v>
      </x:c>
      <x:c r="P260" s="26" t="n">
        <x:f>J260*E260+K260*F260+L260*G260+M260*H260</x:f>
        <x:v>0.622314453125</x:v>
      </x:c>
      <x:c r="Q260" s="26" t="n">
        <x:f>J260*E260+K260*G260+L260*F260+M260*H260</x:f>
        <x:v>0.626220703125</x:v>
      </x:c>
      <x:c r="R260" s="26" t="n">
        <x:f>(P260+Q260)/2</x:f>
        <x:v>0.624267578125</x:v>
      </x:c>
      <x:c r="S260" s="26" t="n">
        <x:f>P260-Q260</x:f>
        <x:v>-0.00390625</x:v>
      </x:c>
      <x:c r="T260" s="26" t="n">
        <x:f>(P260-N260)^2+(Q260-O260)^2</x:f>
        <x:v>0.000008702278137207031</x:v>
      </x:c>
    </x:row>
    <x:row r="261">
      <x:c r="A261" t="str">
        <x:v>C</x:v>
      </x:c>
      <x:c r="B261" t="n">
        <x:v>58</x:v>
      </x:c>
      <x:c r="C261" t="str">
        <x:v>Case 3a(ii) (PD), mixed</x:v>
      </x:c>
      <x:c r="D261" t="str">
        <x:v>mixed reconstructed</x:v>
      </x:c>
      <x:c r="E261" s="26" t="n">
        <x:v>0.875</x:v>
      </x:c>
      <x:c r="F261" s="26" t="n">
        <x:v>0</x:v>
      </x:c>
      <x:c r="G261" s="26" t="n">
        <x:v>1</x:v>
      </x:c>
      <x:c r="H261" s="26" t="n">
        <x:v>0.375</x:v>
      </x:c>
      <x:c r="I261" t="str">
        <x:v>pi/2</x:v>
      </x:c>
      <x:c r="J261" s="26" t="n">
        <x:f>Mixed_Reconstructed!B61</x:f>
        <x:v>0.4951171875</x:v>
      </x:c>
      <x:c r="K261" s="26" t="n">
        <x:f>Mixed_Reconstructed!C61</x:f>
        <x:v>0.0126953125</x:v>
      </x:c>
      <x:c r="L261" s="26" t="n">
        <x:f>Mixed_Reconstructed!D61</x:f>
        <x:v>0.013671875</x:v>
      </x:c>
      <x:c r="M261" s="26" t="n">
        <x:f>Mixed_Reconstructed!E61</x:f>
        <x:v>0.478515625</x:v>
      </x:c>
      <x:c r="N261" s="26" t="n">
        <x:v>0.625</x:v>
      </x:c>
      <x:c r="O261" s="26" t="n">
        <x:v>0.625</x:v>
      </x:c>
      <x:c r="P261" s="26" t="n">
        <x:f>J261*E261+K261*F261+L261*G261+M261*H261</x:f>
        <x:v>0.6263427734375</x:v>
      </x:c>
      <x:c r="Q261" s="26" t="n">
        <x:f>J261*E261+K261*G261+L261*F261+M261*H261</x:f>
        <x:v>0.6253662109375</x:v>
      </x:c>
      <x:c r="R261" s="26" t="n">
        <x:f>(P261+Q261)/2</x:f>
        <x:v>0.6258544921875</x:v>
      </x:c>
      <x:c r="S261" s="26" t="n">
        <x:f>P261-Q261</x:f>
        <x:v>0.0009765625</x:v>
      </x:c>
      <x:c r="T261" s="26" t="n">
        <x:f>(P261-N261)^2+(Q261-O261)^2</x:f>
        <x:v>0.0000019371509552001953</x:v>
      </x:c>
    </x:row>
    <x:row r="262">
      <x:c r="A262" t="str">
        <x:v>C</x:v>
      </x:c>
      <x:c r="B262" t="n">
        <x:v>59</x:v>
      </x:c>
      <x:c r="C262" t="str">
        <x:v>Case 3a(ii) (PD), mixed</x:v>
      </x:c>
      <x:c r="D262" t="str">
        <x:v>mixed reconstructed</x:v>
      </x:c>
      <x:c r="E262" s="26" t="n">
        <x:v>0.875</x:v>
      </x:c>
      <x:c r="F262" s="26" t="n">
        <x:v>0</x:v>
      </x:c>
      <x:c r="G262" s="26" t="n">
        <x:v>1</x:v>
      </x:c>
      <x:c r="H262" s="26" t="n">
        <x:v>0.375</x:v>
      </x:c>
      <x:c r="I262" t="str">
        <x:v>pi/2</x:v>
      </x:c>
      <x:c r="J262" s="26" t="n">
        <x:f>Mixed_Reconstructed!B62</x:f>
        <x:v>0.4931640625</x:v>
      </x:c>
      <x:c r="K262" s="26" t="n">
        <x:f>Mixed_Reconstructed!C62</x:f>
        <x:v>0.009765625</x:v>
      </x:c>
      <x:c r="L262" s="26" t="n">
        <x:f>Mixed_Reconstructed!D62</x:f>
        <x:v>0.0078125</x:v>
      </x:c>
      <x:c r="M262" s="26" t="n">
        <x:f>Mixed_Reconstructed!E62</x:f>
        <x:v>0.4892578125</x:v>
      </x:c>
      <x:c r="N262" s="26" t="n">
        <x:v>0.625</x:v>
      </x:c>
      <x:c r="O262" s="26" t="n">
        <x:v>0.625</x:v>
      </x:c>
      <x:c r="P262" s="26" t="n">
        <x:f>J262*E262+K262*F262+L262*G262+M262*H262</x:f>
        <x:v>0.622802734375</x:v>
      </x:c>
      <x:c r="Q262" s="26" t="n">
        <x:f>J262*E262+K262*G262+L262*F262+M262*H262</x:f>
        <x:v>0.624755859375</x:v>
      </x:c>
      <x:c r="R262" s="26" t="n">
        <x:f>(P262+Q262)/2</x:f>
        <x:v>0.623779296875</x:v>
      </x:c>
      <x:c r="S262" s="26" t="n">
        <x:f>P262-Q262</x:f>
        <x:v>-0.001953125</x:v>
      </x:c>
      <x:c r="T262" s="26" t="n">
        <x:f>(P262-N262)^2+(Q262-O262)^2</x:f>
        <x:v>0.000004887580871582031</x:v>
      </x:c>
    </x:row>
    <x:row r="263">
      <x:c r="A263" t="str">
        <x:v>C</x:v>
      </x:c>
      <x:c r="B263" t="n">
        <x:v>60</x:v>
      </x:c>
      <x:c r="C263" t="str">
        <x:v>Case 3a(ii) (PD), mixed</x:v>
      </x:c>
      <x:c r="D263" t="str">
        <x:v>mixed reconstructed</x:v>
      </x:c>
      <x:c r="E263" s="26" t="n">
        <x:v>0.875</x:v>
      </x:c>
      <x:c r="F263" s="26" t="n">
        <x:v>0</x:v>
      </x:c>
      <x:c r="G263" s="26" t="n">
        <x:v>1</x:v>
      </x:c>
      <x:c r="H263" s="26" t="n">
        <x:v>0.375</x:v>
      </x:c>
      <x:c r="I263" t="str">
        <x:v>pi/2</x:v>
      </x:c>
      <x:c r="J263" s="26" t="n">
        <x:f>Mixed_Reconstructed!B63</x:f>
        <x:v>0.498046875</x:v>
      </x:c>
      <x:c r="K263" s="26" t="n">
        <x:f>Mixed_Reconstructed!C63</x:f>
        <x:v>0.0087890625</x:v>
      </x:c>
      <x:c r="L263" s="26" t="n">
        <x:f>Mixed_Reconstructed!D63</x:f>
        <x:v>0.0078125</x:v>
      </x:c>
      <x:c r="M263" s="26" t="n">
        <x:f>Mixed_Reconstructed!E63</x:f>
        <x:v>0.4853515625</x:v>
      </x:c>
      <x:c r="N263" s="26" t="n">
        <x:v>0.625</x:v>
      </x:c>
      <x:c r="O263" s="26" t="n">
        <x:v>0.625</x:v>
      </x:c>
      <x:c r="P263" s="26" t="n">
        <x:f>J263*E263+K263*F263+L263*G263+M263*H263</x:f>
        <x:v>0.6256103515625</x:v>
      </x:c>
      <x:c r="Q263" s="26" t="n">
        <x:f>J263*E263+K263*G263+L263*F263+M263*H263</x:f>
        <x:v>0.6265869140625</x:v>
      </x:c>
      <x:c r="R263" s="26" t="n">
        <x:f>(P263+Q263)/2</x:f>
        <x:v>0.6260986328125</x:v>
      </x:c>
      <x:c r="S263" s="26" t="n">
        <x:f>P263-Q263</x:f>
        <x:v>-0.0009765625</x:v>
      </x:c>
      <x:c r="T263" s="26" t="n">
        <x:f>(P263-N263)^2+(Q263-O263)^2</x:f>
        <x:v>0.0000028908252716064453</x:v>
      </x:c>
    </x:row>
    <x:row r="264">
      <x:c r="A264" t="str">
        <x:v>C</x:v>
      </x:c>
      <x:c r="B264" t="n">
        <x:v>61</x:v>
      </x:c>
      <x:c r="C264" t="str">
        <x:v>Case 3a(ii) (PD), mixed</x:v>
      </x:c>
      <x:c r="D264" t="str">
        <x:v>mixed reconstructed</x:v>
      </x:c>
      <x:c r="E264" s="26" t="n">
        <x:v>0.875</x:v>
      </x:c>
      <x:c r="F264" s="26" t="n">
        <x:v>0</x:v>
      </x:c>
      <x:c r="G264" s="26" t="n">
        <x:v>1</x:v>
      </x:c>
      <x:c r="H264" s="26" t="n">
        <x:v>0.375</x:v>
      </x:c>
      <x:c r="I264" t="str">
        <x:v>pi/2</x:v>
      </x:c>
      <x:c r="J264" s="26" t="n">
        <x:f>Mixed_Reconstructed!B64</x:f>
        <x:v>0.4892578125</x:v>
      </x:c>
      <x:c r="K264" s="26" t="n">
        <x:f>Mixed_Reconstructed!C64</x:f>
        <x:v>0.01171875</x:v>
      </x:c>
      <x:c r="L264" s="26" t="n">
        <x:f>Mixed_Reconstructed!D64</x:f>
        <x:v>0.009765625</x:v>
      </x:c>
      <x:c r="M264" s="26" t="n">
        <x:f>Mixed_Reconstructed!E64</x:f>
        <x:v>0.4892578125</x:v>
      </x:c>
      <x:c r="N264" s="26" t="n">
        <x:v>0.625</x:v>
      </x:c>
      <x:c r="O264" s="26" t="n">
        <x:v>0.625</x:v>
      </x:c>
      <x:c r="P264" s="26" t="n">
        <x:f>J264*E264+K264*F264+L264*G264+M264*H264</x:f>
        <x:v>0.621337890625</x:v>
      </x:c>
      <x:c r="Q264" s="26" t="n">
        <x:f>J264*E264+K264*G264+L264*F264+M264*H264</x:f>
        <x:v>0.623291015625</x:v>
      </x:c>
      <x:c r="R264" s="26" t="n">
        <x:f>(P264+Q264)/2</x:f>
        <x:v>0.622314453125</x:v>
      </x:c>
      <x:c r="S264" s="26" t="n">
        <x:f>P264-Q264</x:f>
        <x:v>-0.001953125</x:v>
      </x:c>
      <x:c r="T264" s="26" t="n">
        <x:f>(P264-N264)^2+(Q264-O264)^2</x:f>
        <x:v>0.00001633167266845703</x:v>
      </x:c>
    </x:row>
    <x:row r="265">
      <x:c r="A265" t="str">
        <x:v>C</x:v>
      </x:c>
      <x:c r="B265" t="n">
        <x:v>62</x:v>
      </x:c>
      <x:c r="C265" t="str">
        <x:v>Case 3a(ii) (PD), mixed</x:v>
      </x:c>
      <x:c r="D265" t="str">
        <x:v>mixed reconstructed</x:v>
      </x:c>
      <x:c r="E265" s="26" t="n">
        <x:v>0.875</x:v>
      </x:c>
      <x:c r="F265" s="26" t="n">
        <x:v>0</x:v>
      </x:c>
      <x:c r="G265" s="26" t="n">
        <x:v>1</x:v>
      </x:c>
      <x:c r="H265" s="26" t="n">
        <x:v>0.375</x:v>
      </x:c>
      <x:c r="I265" t="str">
        <x:v>pi/2</x:v>
      </x:c>
      <x:c r="J265" s="26" t="n">
        <x:f>Mixed_Reconstructed!B65</x:f>
        <x:v>0.4931640625</x:v>
      </x:c>
      <x:c r="K265" s="26" t="n">
        <x:f>Mixed_Reconstructed!C65</x:f>
        <x:v>0.0126953125</x:v>
      </x:c>
      <x:c r="L265" s="26" t="n">
        <x:f>Mixed_Reconstructed!D65</x:f>
        <x:v>0.01171875</x:v>
      </x:c>
      <x:c r="M265" s="26" t="n">
        <x:f>Mixed_Reconstructed!E65</x:f>
        <x:v>0.482421875</x:v>
      </x:c>
      <x:c r="N265" s="26" t="n">
        <x:v>0.625</x:v>
      </x:c>
      <x:c r="O265" s="26" t="n">
        <x:v>0.625</x:v>
      </x:c>
      <x:c r="P265" s="26" t="n">
        <x:f>J265*E265+K265*F265+L265*G265+M265*H265</x:f>
        <x:v>0.6241455078125</x:v>
      </x:c>
      <x:c r="Q265" s="26" t="n">
        <x:f>J265*E265+K265*G265+L265*F265+M265*H265</x:f>
        <x:v>0.6251220703125</x:v>
      </x:c>
      <x:c r="R265" s="26" t="n">
        <x:f>(P265+Q265)/2</x:f>
        <x:v>0.6246337890625</x:v>
      </x:c>
      <x:c r="S265" s="26" t="n">
        <x:f>P265-Q265</x:f>
        <x:v>-0.0009765625</x:v>
      </x:c>
      <x:c r="T265" s="26" t="n">
        <x:f>(P265-N265)^2+(Q265-O265)^2</x:f>
        <x:v>7.450580596923828e-7</x:v>
      </x:c>
    </x:row>
    <x:row r="266">
      <x:c r="A266" t="str">
        <x:v>C</x:v>
      </x:c>
      <x:c r="B266" t="n">
        <x:v>63</x:v>
      </x:c>
      <x:c r="C266" t="str">
        <x:v>Case 3a(ii) (PD), mixed</x:v>
      </x:c>
      <x:c r="D266" t="str">
        <x:v>mixed reconstructed</x:v>
      </x:c>
      <x:c r="E266" s="26" t="n">
        <x:v>0.875</x:v>
      </x:c>
      <x:c r="F266" s="26" t="n">
        <x:v>0</x:v>
      </x:c>
      <x:c r="G266" s="26" t="n">
        <x:v>1</x:v>
      </x:c>
      <x:c r="H266" s="26" t="n">
        <x:v>0.375</x:v>
      </x:c>
      <x:c r="I266" t="str">
        <x:v>pi/2</x:v>
      </x:c>
      <x:c r="J266" s="26" t="n">
        <x:f>Mixed_Reconstructed!B66</x:f>
        <x:v>0.4951171875</x:v>
      </x:c>
      <x:c r="K266" s="26" t="n">
        <x:f>Mixed_Reconstructed!C66</x:f>
        <x:v>0.0126953125</x:v>
      </x:c>
      <x:c r="L266" s="26" t="n">
        <x:f>Mixed_Reconstructed!D66</x:f>
        <x:v>0.0126953125</x:v>
      </x:c>
      <x:c r="M266" s="26" t="n">
        <x:f>Mixed_Reconstructed!E66</x:f>
        <x:v>0.4794921875</x:v>
      </x:c>
      <x:c r="N266" s="26" t="n">
        <x:v>0.625</x:v>
      </x:c>
      <x:c r="O266" s="26" t="n">
        <x:v>0.625</x:v>
      </x:c>
      <x:c r="P266" s="26" t="n">
        <x:f>J266*E266+K266*F266+L266*G266+M266*H266</x:f>
        <x:v>0.625732421875</x:v>
      </x:c>
      <x:c r="Q266" s="26" t="n">
        <x:f>J266*E266+K266*G266+L266*F266+M266*H266</x:f>
        <x:v>0.625732421875</x:v>
      </x:c>
      <x:c r="R266" s="26" t="n">
        <x:f>(P266+Q266)/2</x:f>
        <x:v>0.625732421875</x:v>
      </x:c>
      <x:c r="S266" s="26" t="n">
        <x:f>P266-Q266</x:f>
        <x:v>0</x:v>
      </x:c>
      <x:c r="T266" s="26" t="n">
        <x:f>(P266-N266)^2+(Q266-O266)^2</x:f>
        <x:v>0.0000010728836059570312</x:v>
      </x:c>
    </x:row>
    <x:row r="267">
      <x:c r="A267" t="str">
        <x:v>C</x:v>
      </x:c>
      <x:c r="B267" t="n">
        <x:v>64</x:v>
      </x:c>
      <x:c r="C267" t="str">
        <x:v>Case 3a(ii) (PD), mixed</x:v>
      </x:c>
      <x:c r="D267" t="str">
        <x:v>mixed reconstructed</x:v>
      </x:c>
      <x:c r="E267" s="26" t="n">
        <x:v>0.875</x:v>
      </x:c>
      <x:c r="F267" s="26" t="n">
        <x:v>0</x:v>
      </x:c>
      <x:c r="G267" s="26" t="n">
        <x:v>1</x:v>
      </x:c>
      <x:c r="H267" s="26" t="n">
        <x:v>0.375</x:v>
      </x:c>
      <x:c r="I267" t="str">
        <x:v>pi/2</x:v>
      </x:c>
      <x:c r="J267" s="26" t="n">
        <x:f>Mixed_Reconstructed!B67</x:f>
        <x:v>0.4931640625</x:v>
      </x:c>
      <x:c r="K267" s="26" t="n">
        <x:f>Mixed_Reconstructed!C67</x:f>
        <x:v>0.015625</x:v>
      </x:c>
      <x:c r="L267" s="26" t="n">
        <x:f>Mixed_Reconstructed!D67</x:f>
        <x:v>0.001953125</x:v>
      </x:c>
      <x:c r="M267" s="26" t="n">
        <x:f>Mixed_Reconstructed!E67</x:f>
        <x:v>0.4892578125</x:v>
      </x:c>
      <x:c r="N267" s="26" t="n">
        <x:v>0.625</x:v>
      </x:c>
      <x:c r="O267" s="26" t="n">
        <x:v>0.625</x:v>
      </x:c>
      <x:c r="P267" s="26" t="n">
        <x:f>J267*E267+K267*F267+L267*G267+M267*H267</x:f>
        <x:v>0.616943359375</x:v>
      </x:c>
      <x:c r="Q267" s="26" t="n">
        <x:f>J267*E267+K267*G267+L267*F267+M267*H267</x:f>
        <x:v>0.630615234375</x:v>
      </x:c>
      <x:c r="R267" s="26" t="n">
        <x:f>(P267+Q267)/2</x:f>
        <x:v>0.623779296875</x:v>
      </x:c>
      <x:c r="S267" s="26" t="n">
        <x:f>P267-Q267</x:f>
        <x:v>-0.013671875</x:v>
      </x:c>
      <x:c r="T267" s="26" t="n">
        <x:f>(P267-N267)^2+(Q267-O267)^2</x:f>
        <x:v>0.00009644031524658203</x:v>
      </x:c>
    </x:row>
    <x:row r="268">
      <x:c r="A268" t="str">
        <x:v>C</x:v>
      </x:c>
      <x:c r="B268" t="n">
        <x:v>65</x:v>
      </x:c>
      <x:c r="C268" t="str">
        <x:v>Case 3a(ii) (PD), mixed</x:v>
      </x:c>
      <x:c r="D268" t="str">
        <x:v>mixed reconstructed</x:v>
      </x:c>
      <x:c r="E268" s="26" t="n">
        <x:v>0.875</x:v>
      </x:c>
      <x:c r="F268" s="26" t="n">
        <x:v>0</x:v>
      </x:c>
      <x:c r="G268" s="26" t="n">
        <x:v>1</x:v>
      </x:c>
      <x:c r="H268" s="26" t="n">
        <x:v>0.375</x:v>
      </x:c>
      <x:c r="I268" t="str">
        <x:v>pi/2</x:v>
      </x:c>
      <x:c r="J268" s="26" t="n">
        <x:f>Mixed_Reconstructed!B68</x:f>
        <x:v>0.49609375</x:v>
      </x:c>
      <x:c r="K268" s="26" t="n">
        <x:f>Mixed_Reconstructed!C68</x:f>
        <x:v>0.0078125</x:v>
      </x:c>
      <x:c r="L268" s="26" t="n">
        <x:f>Mixed_Reconstructed!D68</x:f>
        <x:v>0.0068359375</x:v>
      </x:c>
      <x:c r="M268" s="26" t="n">
        <x:f>Mixed_Reconstructed!E68</x:f>
        <x:v>0.4892578125</x:v>
      </x:c>
      <x:c r="N268" s="26" t="n">
        <x:v>0.625</x:v>
      </x:c>
      <x:c r="O268" s="26" t="n">
        <x:v>0.625</x:v>
      </x:c>
      <x:c r="P268" s="26" t="n">
        <x:f>J268*E268+K268*F268+L268*G268+M268*H268</x:f>
        <x:v>0.6243896484375</x:v>
      </x:c>
      <x:c r="Q268" s="26" t="n">
        <x:f>J268*E268+K268*G268+L268*F268+M268*H268</x:f>
        <x:v>0.6253662109375</x:v>
      </x:c>
      <x:c r="R268" s="26" t="n">
        <x:f>(P268+Q268)/2</x:f>
        <x:v>0.6248779296875</x:v>
      </x:c>
      <x:c r="S268" s="26" t="n">
        <x:f>P268-Q268</x:f>
        <x:v>-0.0009765625</x:v>
      </x:c>
      <x:c r="T268" s="26" t="n">
        <x:f>(P268-N268)^2+(Q268-O268)^2</x:f>
        <x:v>5.066394805908203e-7</x:v>
      </x:c>
    </x:row>
    <x:row r="269">
      <x:c r="A269" t="str">
        <x:v>C</x:v>
      </x:c>
      <x:c r="B269" t="n">
        <x:v>66</x:v>
      </x:c>
      <x:c r="C269" t="str">
        <x:v>Case 3a(ii) (PD), mixed</x:v>
      </x:c>
      <x:c r="D269" t="str">
        <x:v>mixed reconstructed</x:v>
      </x:c>
      <x:c r="E269" s="26" t="n">
        <x:v>0.875</x:v>
      </x:c>
      <x:c r="F269" s="26" t="n">
        <x:v>0</x:v>
      </x:c>
      <x:c r="G269" s="26" t="n">
        <x:v>1</x:v>
      </x:c>
      <x:c r="H269" s="26" t="n">
        <x:v>0.375</x:v>
      </x:c>
      <x:c r="I269" t="str">
        <x:v>pi/2</x:v>
      </x:c>
      <x:c r="J269" s="26" t="n">
        <x:f>Mixed_Reconstructed!B69</x:f>
        <x:v>0.4970703125</x:v>
      </x:c>
      <x:c r="K269" s="26" t="n">
        <x:f>Mixed_Reconstructed!C69</x:f>
        <x:v>0.0029296875</x:v>
      </x:c>
      <x:c r="L269" s="26" t="n">
        <x:f>Mixed_Reconstructed!D69</x:f>
        <x:v>0.0126953125</x:v>
      </x:c>
      <x:c r="M269" s="26" t="n">
        <x:f>Mixed_Reconstructed!E69</x:f>
        <x:v>0.4873046875</x:v>
      </x:c>
      <x:c r="N269" s="26" t="n">
        <x:v>0.625</x:v>
      </x:c>
      <x:c r="O269" s="26" t="n">
        <x:v>0.625</x:v>
      </x:c>
      <x:c r="P269" s="26" t="n">
        <x:f>J269*E269+K269*F269+L269*G269+M269*H269</x:f>
        <x:v>0.63037109375</x:v>
      </x:c>
      <x:c r="Q269" s="26" t="n">
        <x:f>J269*E269+K269*G269+L269*F269+M269*H269</x:f>
        <x:v>0.62060546875</x:v>
      </x:c>
      <x:c r="R269" s="26" t="n">
        <x:f>(P269+Q269)/2</x:f>
        <x:v>0.62548828125</x:v>
      </x:c>
      <x:c r="S269" s="26" t="n">
        <x:f>P269-Q269</x:f>
        <x:v>0.009765625</x:v>
      </x:c>
      <x:c r="T269" s="26" t="n">
        <x:f>(P269-N269)^2+(Q269-O269)^2</x:f>
        <x:v>0.000048160552978515625</x:v>
      </x:c>
    </x:row>
    <x:row r="270">
      <x:c r="A270" t="str">
        <x:v>C</x:v>
      </x:c>
      <x:c r="B270" t="n">
        <x:v>67</x:v>
      </x:c>
      <x:c r="C270" t="str">
        <x:v>Case 3a(ii) (PD), mixed</x:v>
      </x:c>
      <x:c r="D270" t="str">
        <x:v>mixed reconstructed</x:v>
      </x:c>
      <x:c r="E270" s="26" t="n">
        <x:v>0.875</x:v>
      </x:c>
      <x:c r="F270" s="26" t="n">
        <x:v>0</x:v>
      </x:c>
      <x:c r="G270" s="26" t="n">
        <x:v>1</x:v>
      </x:c>
      <x:c r="H270" s="26" t="n">
        <x:v>0.375</x:v>
      </x:c>
      <x:c r="I270" t="str">
        <x:v>pi/2</x:v>
      </x:c>
      <x:c r="J270" s="26" t="n">
        <x:f>Mixed_Reconstructed!B70</x:f>
        <x:v>0.4990234375</x:v>
      </x:c>
      <x:c r="K270" s="26" t="n">
        <x:f>Mixed_Reconstructed!C70</x:f>
        <x:v>0.013671875</x:v>
      </x:c>
      <x:c r="L270" s="26" t="n">
        <x:f>Mixed_Reconstructed!D70</x:f>
        <x:v>0.0087890625</x:v>
      </x:c>
      <x:c r="M270" s="26" t="n">
        <x:f>Mixed_Reconstructed!E70</x:f>
        <x:v>0.478515625</x:v>
      </x:c>
      <x:c r="N270" s="26" t="n">
        <x:v>0.625</x:v>
      </x:c>
      <x:c r="O270" s="26" t="n">
        <x:v>0.625</x:v>
      </x:c>
      <x:c r="P270" s="26" t="n">
        <x:f>J270*E270+K270*F270+L270*G270+M270*H270</x:f>
        <x:v>0.6248779296875</x:v>
      </x:c>
      <x:c r="Q270" s="26" t="n">
        <x:f>J270*E270+K270*G270+L270*F270+M270*H270</x:f>
        <x:v>0.6297607421875</x:v>
      </x:c>
      <x:c r="R270" s="26" t="n">
        <x:f>(P270+Q270)/2</x:f>
        <x:v>0.6273193359375</x:v>
      </x:c>
      <x:c r="S270" s="26" t="n">
        <x:f>P270-Q270</x:f>
        <x:v>-0.0048828125</x:v>
      </x:c>
      <x:c r="T270" s="26" t="n">
        <x:f>(P270-N270)^2+(Q270-O270)^2</x:f>
        <x:v>0.000022679567337036133</x:v>
      </x:c>
    </x:row>
    <x:row r="271">
      <x:c r="A271" t="str">
        <x:v>C</x:v>
      </x:c>
      <x:c r="B271" t="n">
        <x:v>68</x:v>
      </x:c>
      <x:c r="C271" t="str">
        <x:v>Case 3a(ii) (PD), mixed</x:v>
      </x:c>
      <x:c r="D271" t="str">
        <x:v>mixed reconstructed</x:v>
      </x:c>
      <x:c r="E271" s="26" t="n">
        <x:v>0.875</x:v>
      </x:c>
      <x:c r="F271" s="26" t="n">
        <x:v>0</x:v>
      </x:c>
      <x:c r="G271" s="26" t="n">
        <x:v>1</x:v>
      </x:c>
      <x:c r="H271" s="26" t="n">
        <x:v>0.375</x:v>
      </x:c>
      <x:c r="I271" t="str">
        <x:v>pi/2</x:v>
      </x:c>
      <x:c r="J271" s="26" t="n">
        <x:f>Mixed_Reconstructed!B71</x:f>
        <x:v>0.4892578125</x:v>
      </x:c>
      <x:c r="K271" s="26" t="n">
        <x:f>Mixed_Reconstructed!C71</x:f>
        <x:v>0.017578125</x:v>
      </x:c>
      <x:c r="L271" s="26" t="n">
        <x:f>Mixed_Reconstructed!D71</x:f>
        <x:v>0.005859375</x:v>
      </x:c>
      <x:c r="M271" s="26" t="n">
        <x:f>Mixed_Reconstructed!E71</x:f>
        <x:v>0.4873046875</x:v>
      </x:c>
      <x:c r="N271" s="26" t="n">
        <x:v>0.625</x:v>
      </x:c>
      <x:c r="O271" s="26" t="n">
        <x:v>0.625</x:v>
      </x:c>
      <x:c r="P271" s="26" t="n">
        <x:f>J271*E271+K271*F271+L271*G271+M271*H271</x:f>
        <x:v>0.61669921875</x:v>
      </x:c>
      <x:c r="Q271" s="26" t="n">
        <x:f>J271*E271+K271*G271+L271*F271+M271*H271</x:f>
        <x:v>0.62841796875</x:v>
      </x:c>
      <x:c r="R271" s="26" t="n">
        <x:f>(P271+Q271)/2</x:f>
        <x:v>0.62255859375</x:v>
      </x:c>
      <x:c r="S271" s="26" t="n">
        <x:f>P271-Q271</x:f>
        <x:v>-0.01171875</x:v>
      </x:c>
      <x:c r="T271" s="26" t="n">
        <x:f>(P271-N271)^2+(Q271-O271)^2</x:f>
        <x:v>0.00008058547973632812</x:v>
      </x:c>
    </x:row>
    <x:row r="272">
      <x:c r="A272" t="str">
        <x:v>C</x:v>
      </x:c>
      <x:c r="B272" t="n">
        <x:v>69</x:v>
      </x:c>
      <x:c r="C272" t="str">
        <x:v>Case 3a(ii) (PD), mixed</x:v>
      </x:c>
      <x:c r="D272" t="str">
        <x:v>mixed reconstructed</x:v>
      </x:c>
      <x:c r="E272" s="26" t="n">
        <x:v>0.875</x:v>
      </x:c>
      <x:c r="F272" s="26" t="n">
        <x:v>0</x:v>
      </x:c>
      <x:c r="G272" s="26" t="n">
        <x:v>1</x:v>
      </x:c>
      <x:c r="H272" s="26" t="n">
        <x:v>0.375</x:v>
      </x:c>
      <x:c r="I272" t="str">
        <x:v>pi/2</x:v>
      </x:c>
      <x:c r="J272" s="26" t="n">
        <x:f>Mixed_Reconstructed!B72</x:f>
        <x:v>0.4931640625</x:v>
      </x:c>
      <x:c r="K272" s="26" t="n">
        <x:f>Mixed_Reconstructed!C72</x:f>
        <x:v>0.0146484375</x:v>
      </x:c>
      <x:c r="L272" s="26" t="n">
        <x:f>Mixed_Reconstructed!D72</x:f>
        <x:v>0.00390625</x:v>
      </x:c>
      <x:c r="M272" s="26" t="n">
        <x:f>Mixed_Reconstructed!E72</x:f>
        <x:v>0.48828125</x:v>
      </x:c>
      <x:c r="N272" s="26" t="n">
        <x:v>0.625</x:v>
      </x:c>
      <x:c r="O272" s="26" t="n">
        <x:v>0.625</x:v>
      </x:c>
      <x:c r="P272" s="26" t="n">
        <x:f>J272*E272+K272*F272+L272*G272+M272*H272</x:f>
        <x:v>0.6185302734375</x:v>
      </x:c>
      <x:c r="Q272" s="26" t="n">
        <x:f>J272*E272+K272*G272+L272*F272+M272*H272</x:f>
        <x:v>0.6292724609375</x:v>
      </x:c>
      <x:c r="R272" s="26" t="n">
        <x:f>(P272+Q272)/2</x:f>
        <x:v>0.6239013671875</x:v>
      </x:c>
      <x:c r="S272" s="26" t="n">
        <x:f>P272-Q272</x:f>
        <x:v>-0.0107421875</x:v>
      </x:c>
      <x:c r="T272" s="26" t="n">
        <x:f>(P272-N272)^2+(Q272-O272)^2</x:f>
        <x:v>0.000060111284255981445</x:v>
      </x:c>
    </x:row>
    <x:row r="273">
      <x:c r="A273" t="str">
        <x:v>C</x:v>
      </x:c>
      <x:c r="B273" t="n">
        <x:v>70</x:v>
      </x:c>
      <x:c r="C273" t="str">
        <x:v>Case 3a(ii) (PD), mixed</x:v>
      </x:c>
      <x:c r="D273" t="str">
        <x:v>mixed reconstructed</x:v>
      </x:c>
      <x:c r="E273" s="26" t="n">
        <x:v>0.875</x:v>
      </x:c>
      <x:c r="F273" s="26" t="n">
        <x:v>0</x:v>
      </x:c>
      <x:c r="G273" s="26" t="n">
        <x:v>1</x:v>
      </x:c>
      <x:c r="H273" s="26" t="n">
        <x:v>0.375</x:v>
      </x:c>
      <x:c r="I273" t="str">
        <x:v>pi/2</x:v>
      </x:c>
      <x:c r="J273" s="26" t="n">
        <x:f>Mixed_Reconstructed!B73</x:f>
        <x:v>0.4970703125</x:v>
      </x:c>
      <x:c r="K273" s="26" t="n">
        <x:f>Mixed_Reconstructed!C73</x:f>
        <x:v>0.013671875</x:v>
      </x:c>
      <x:c r="L273" s="26" t="n">
        <x:f>Mixed_Reconstructed!D73</x:f>
        <x:v>0.0087890625</x:v>
      </x:c>
      <x:c r="M273" s="26" t="n">
        <x:f>Mixed_Reconstructed!E73</x:f>
        <x:v>0.48046875</x:v>
      </x:c>
      <x:c r="N273" s="26" t="n">
        <x:v>0.625</x:v>
      </x:c>
      <x:c r="O273" s="26" t="n">
        <x:v>0.625</x:v>
      </x:c>
      <x:c r="P273" s="26" t="n">
        <x:f>J273*E273+K273*F273+L273*G273+M273*H273</x:f>
        <x:v>0.6239013671875</x:v>
      </x:c>
      <x:c r="Q273" s="26" t="n">
        <x:f>J273*E273+K273*G273+L273*F273+M273*H273</x:f>
        <x:v>0.6287841796875</x:v>
      </x:c>
      <x:c r="R273" s="26" t="n">
        <x:f>(P273+Q273)/2</x:f>
        <x:v>0.6263427734375</x:v>
      </x:c>
      <x:c r="S273" s="26" t="n">
        <x:f>P273-Q273</x:f>
        <x:v>-0.0048828125</x:v>
      </x:c>
      <x:c r="T273" s="26" t="n">
        <x:f>(P273-N273)^2+(Q273-O273)^2</x:f>
        <x:v>0.000015527009963989258</x:v>
      </x:c>
    </x:row>
    <x:row r="274">
      <x:c r="A274" t="str">
        <x:v>C</x:v>
      </x:c>
      <x:c r="B274" t="n">
        <x:v>71</x:v>
      </x:c>
      <x:c r="C274" t="str">
        <x:v>Case 3a(ii) (PD), mixed</x:v>
      </x:c>
      <x:c r="D274" t="str">
        <x:v>mixed reconstructed</x:v>
      </x:c>
      <x:c r="E274" s="26" t="n">
        <x:v>0.875</x:v>
      </x:c>
      <x:c r="F274" s="26" t="n">
        <x:v>0</x:v>
      </x:c>
      <x:c r="G274" s="26" t="n">
        <x:v>1</x:v>
      </x:c>
      <x:c r="H274" s="26" t="n">
        <x:v>0.375</x:v>
      </x:c>
      <x:c r="I274" t="str">
        <x:v>pi/2</x:v>
      </x:c>
      <x:c r="J274" s="26" t="n">
        <x:f>Mixed_Reconstructed!B74</x:f>
        <x:v>0.4921875</x:v>
      </x:c>
      <x:c r="K274" s="26" t="n">
        <x:f>Mixed_Reconstructed!C74</x:f>
        <x:v>0.01953125</x:v>
      </x:c>
      <x:c r="L274" s="26" t="n">
        <x:f>Mixed_Reconstructed!D74</x:f>
        <x:v>0.0087890625</x:v>
      </x:c>
      <x:c r="M274" s="26" t="n">
        <x:f>Mixed_Reconstructed!E74</x:f>
        <x:v>0.4794921875</x:v>
      </x:c>
      <x:c r="N274" s="26" t="n">
        <x:v>0.625</x:v>
      </x:c>
      <x:c r="O274" s="26" t="n">
        <x:v>0.625</x:v>
      </x:c>
      <x:c r="P274" s="26" t="n">
        <x:f>J274*E274+K274*F274+L274*G274+M274*H274</x:f>
        <x:v>0.6192626953125</x:v>
      </x:c>
      <x:c r="Q274" s="26" t="n">
        <x:f>J274*E274+K274*G274+L274*F274+M274*H274</x:f>
        <x:v>0.6300048828125</x:v>
      </x:c>
      <x:c r="R274" s="26" t="n">
        <x:f>(P274+Q274)/2</x:f>
        <x:v>0.6246337890625</x:v>
      </x:c>
      <x:c r="S274" s="26" t="n">
        <x:f>P274-Q274</x:f>
        <x:v>-0.0107421875</x:v>
      </x:c>
      <x:c r="T274" s="26" t="n">
        <x:f>(P274-N274)^2+(Q274-O274)^2</x:f>
        <x:v>0.00005796551704406738</x:v>
      </x:c>
    </x:row>
    <x:row r="275">
      <x:c r="A275" t="str">
        <x:v>C</x:v>
      </x:c>
      <x:c r="B275" t="n">
        <x:v>72</x:v>
      </x:c>
      <x:c r="C275" t="str">
        <x:v>Case 3a(ii) (PD), mixed</x:v>
      </x:c>
      <x:c r="D275" t="str">
        <x:v>mixed reconstructed</x:v>
      </x:c>
      <x:c r="E275" s="26" t="n">
        <x:v>0.875</x:v>
      </x:c>
      <x:c r="F275" s="26" t="n">
        <x:v>0</x:v>
      </x:c>
      <x:c r="G275" s="26" t="n">
        <x:v>1</x:v>
      </x:c>
      <x:c r="H275" s="26" t="n">
        <x:v>0.375</x:v>
      </x:c>
      <x:c r="I275" t="str">
        <x:v>pi/2</x:v>
      </x:c>
      <x:c r="J275" s="26" t="n">
        <x:f>Mixed_Reconstructed!B75</x:f>
        <x:v>0.5</x:v>
      </x:c>
      <x:c r="K275" s="26" t="n">
        <x:f>Mixed_Reconstructed!C75</x:f>
        <x:v>0.0126953125</x:v>
      </x:c>
      <x:c r="L275" s="26" t="n">
        <x:f>Mixed_Reconstructed!D75</x:f>
        <x:v>0.0029296875</x:v>
      </x:c>
      <x:c r="M275" s="26" t="n">
        <x:f>Mixed_Reconstructed!E75</x:f>
        <x:v>0.484375</x:v>
      </x:c>
      <x:c r="N275" s="26" t="n">
        <x:v>0.625</x:v>
      </x:c>
      <x:c r="O275" s="26" t="n">
        <x:v>0.625</x:v>
      </x:c>
      <x:c r="P275" s="26" t="n">
        <x:f>J275*E275+K275*F275+L275*G275+M275*H275</x:f>
        <x:v>0.6220703125</x:v>
      </x:c>
      <x:c r="Q275" s="26" t="n">
        <x:f>J275*E275+K275*G275+L275*F275+M275*H275</x:f>
        <x:v>0.6318359375</x:v>
      </x:c>
      <x:c r="R275" s="26" t="n">
        <x:f>(P275+Q275)/2</x:f>
        <x:v>0.626953125</x:v>
      </x:c>
      <x:c r="S275" s="26" t="n">
        <x:f>P275-Q275</x:f>
        <x:v>-0.009765625</x:v>
      </x:c>
      <x:c r="T275" s="26" t="n">
        <x:f>(P275-N275)^2+(Q275-O275)^2</x:f>
        <x:v>0.0000553131103515625</x:v>
      </x:c>
    </x:row>
    <x:row r="276">
      <x:c r="A276" t="str">
        <x:v>C</x:v>
      </x:c>
      <x:c r="B276" t="n">
        <x:v>73</x:v>
      </x:c>
      <x:c r="C276" t="str">
        <x:v>Case 3a(ii) (PD), mixed</x:v>
      </x:c>
      <x:c r="D276" t="str">
        <x:v>mixed reconstructed</x:v>
      </x:c>
      <x:c r="E276" s="26" t="n">
        <x:v>0.875</x:v>
      </x:c>
      <x:c r="F276" s="26" t="n">
        <x:v>0</x:v>
      </x:c>
      <x:c r="G276" s="26" t="n">
        <x:v>1</x:v>
      </x:c>
      <x:c r="H276" s="26" t="n">
        <x:v>0.375</x:v>
      </x:c>
      <x:c r="I276" t="str">
        <x:v>pi/2</x:v>
      </x:c>
      <x:c r="J276" s="26" t="n">
        <x:f>Mixed_Reconstructed!B76</x:f>
        <x:v>0.49609375</x:v>
      </x:c>
      <x:c r="K276" s="26" t="n">
        <x:f>Mixed_Reconstructed!C76</x:f>
        <x:v>0.01171875</x:v>
      </x:c>
      <x:c r="L276" s="26" t="n">
        <x:f>Mixed_Reconstructed!D76</x:f>
        <x:v>0.0068359375</x:v>
      </x:c>
      <x:c r="M276" s="26" t="n">
        <x:f>Mixed_Reconstructed!E76</x:f>
        <x:v>0.4853515625</x:v>
      </x:c>
      <x:c r="N276" s="26" t="n">
        <x:v>0.625</x:v>
      </x:c>
      <x:c r="O276" s="26" t="n">
        <x:v>0.625</x:v>
      </x:c>
      <x:c r="P276" s="26" t="n">
        <x:f>J276*E276+K276*F276+L276*G276+M276*H276</x:f>
        <x:v>0.6229248046875</x:v>
      </x:c>
      <x:c r="Q276" s="26" t="n">
        <x:f>J276*E276+K276*G276+L276*F276+M276*H276</x:f>
        <x:v>0.6278076171875</x:v>
      </x:c>
      <x:c r="R276" s="26" t="n">
        <x:f>(P276+Q276)/2</x:f>
        <x:v>0.6253662109375</x:v>
      </x:c>
      <x:c r="S276" s="26" t="n">
        <x:f>P276-Q276</x:f>
        <x:v>-0.0048828125</x:v>
      </x:c>
      <x:c r="T276" s="26" t="n">
        <x:f>(P276-N276)^2+(Q276-O276)^2</x:f>
        <x:v>0.000012189149856567383</x:v>
      </x:c>
    </x:row>
    <x:row r="277">
      <x:c r="A277" t="str">
        <x:v>C</x:v>
      </x:c>
      <x:c r="B277" t="n">
        <x:v>74</x:v>
      </x:c>
      <x:c r="C277" t="str">
        <x:v>Case 3a(ii) (PD), mixed</x:v>
      </x:c>
      <x:c r="D277" t="str">
        <x:v>mixed reconstructed</x:v>
      </x:c>
      <x:c r="E277" s="26" t="n">
        <x:v>0.875</x:v>
      </x:c>
      <x:c r="F277" s="26" t="n">
        <x:v>0</x:v>
      </x:c>
      <x:c r="G277" s="26" t="n">
        <x:v>1</x:v>
      </x:c>
      <x:c r="H277" s="26" t="n">
        <x:v>0.375</x:v>
      </x:c>
      <x:c r="I277" t="str">
        <x:v>pi/2</x:v>
      </x:c>
      <x:c r="J277" s="26" t="n">
        <x:f>Mixed_Reconstructed!B77</x:f>
        <x:v>0.4951171875</x:v>
      </x:c>
      <x:c r="K277" s="26" t="n">
        <x:f>Mixed_Reconstructed!C77</x:f>
        <x:v>0.009765625</x:v>
      </x:c>
      <x:c r="L277" s="26" t="n">
        <x:f>Mixed_Reconstructed!D77</x:f>
        <x:v>0.0078125</x:v>
      </x:c>
      <x:c r="M277" s="26" t="n">
        <x:f>Mixed_Reconstructed!E77</x:f>
        <x:v>0.4873046875</x:v>
      </x:c>
      <x:c r="N277" s="26" t="n">
        <x:v>0.625</x:v>
      </x:c>
      <x:c r="O277" s="26" t="n">
        <x:v>0.625</x:v>
      </x:c>
      <x:c r="P277" s="26" t="n">
        <x:f>J277*E277+K277*F277+L277*G277+M277*H277</x:f>
        <x:v>0.623779296875</x:v>
      </x:c>
      <x:c r="Q277" s="26" t="n">
        <x:f>J277*E277+K277*G277+L277*F277+M277*H277</x:f>
        <x:v>0.625732421875</x:v>
      </x:c>
      <x:c r="R277" s="26" t="n">
        <x:f>(P277+Q277)/2</x:f>
        <x:v>0.624755859375</x:v>
      </x:c>
      <x:c r="S277" s="26" t="n">
        <x:f>P277-Q277</x:f>
        <x:v>-0.001953125</x:v>
      </x:c>
      <x:c r="T277" s="26" t="n">
        <x:f>(P277-N277)^2+(Q277-O277)^2</x:f>
        <x:v>0.0000020265579223632812</x:v>
      </x:c>
    </x:row>
    <x:row r="278">
      <x:c r="A278" t="str">
        <x:v>C</x:v>
      </x:c>
      <x:c r="B278" t="n">
        <x:v>75</x:v>
      </x:c>
      <x:c r="C278" t="str">
        <x:v>Case 3a(ii) (PD), mixed</x:v>
      </x:c>
      <x:c r="D278" t="str">
        <x:v>mixed reconstructed</x:v>
      </x:c>
      <x:c r="E278" s="26" t="n">
        <x:v>0.875</x:v>
      </x:c>
      <x:c r="F278" s="26" t="n">
        <x:v>0</x:v>
      </x:c>
      <x:c r="G278" s="26" t="n">
        <x:v>1</x:v>
      </x:c>
      <x:c r="H278" s="26" t="n">
        <x:v>0.375</x:v>
      </x:c>
      <x:c r="I278" t="str">
        <x:v>pi/2</x:v>
      </x:c>
      <x:c r="J278" s="26" t="n">
        <x:f>Mixed_Reconstructed!B78</x:f>
        <x:v>0.4892578125</x:v>
      </x:c>
      <x:c r="K278" s="26" t="n">
        <x:f>Mixed_Reconstructed!C78</x:f>
        <x:v>0.0146484375</x:v>
      </x:c>
      <x:c r="L278" s="26" t="n">
        <x:f>Mixed_Reconstructed!D78</x:f>
        <x:v>0.0078125</x:v>
      </x:c>
      <x:c r="M278" s="26" t="n">
        <x:f>Mixed_Reconstructed!E78</x:f>
        <x:v>0.48828125</x:v>
      </x:c>
      <x:c r="N278" s="26" t="n">
        <x:v>0.625</x:v>
      </x:c>
      <x:c r="O278" s="26" t="n">
        <x:v>0.625</x:v>
      </x:c>
      <x:c r="P278" s="26" t="n">
        <x:f>J278*E278+K278*F278+L278*G278+M278*H278</x:f>
        <x:v>0.6190185546875</x:v>
      </x:c>
      <x:c r="Q278" s="26" t="n">
        <x:f>J278*E278+K278*G278+L278*F278+M278*H278</x:f>
        <x:v>0.6258544921875</x:v>
      </x:c>
      <x:c r="R278" s="26" t="n">
        <x:f>(P278+Q278)/2</x:f>
        <x:v>0.6224365234375</x:v>
      </x:c>
      <x:c r="S278" s="26" t="n">
        <x:f>P278-Q278</x:f>
        <x:v>-0.0068359375</x:v>
      </x:c>
      <x:c r="T278" s="26" t="n">
        <x:f>(P278-N278)^2+(Q278-O278)^2</x:f>
        <x:v>0.00003650784492492676</x:v>
      </x:c>
    </x:row>
    <x:row r="279">
      <x:c r="A279" t="str">
        <x:v>C</x:v>
      </x:c>
      <x:c r="B279" t="n">
        <x:v>76</x:v>
      </x:c>
      <x:c r="C279" t="str">
        <x:v>Case 3a(ii) (PD), mixed</x:v>
      </x:c>
      <x:c r="D279" t="str">
        <x:v>mixed reconstructed</x:v>
      </x:c>
      <x:c r="E279" s="26" t="n">
        <x:v>0.875</x:v>
      </x:c>
      <x:c r="F279" s="26" t="n">
        <x:v>0</x:v>
      </x:c>
      <x:c r="G279" s="26" t="n">
        <x:v>1</x:v>
      </x:c>
      <x:c r="H279" s="26" t="n">
        <x:v>0.375</x:v>
      </x:c>
      <x:c r="I279" t="str">
        <x:v>pi/2</x:v>
      </x:c>
      <x:c r="J279" s="26" t="n">
        <x:f>Mixed_Reconstructed!B79</x:f>
        <x:v>0.4912109375</x:v>
      </x:c>
      <x:c r="K279" s="26" t="n">
        <x:f>Mixed_Reconstructed!C79</x:f>
        <x:v>0.0126953125</x:v>
      </x:c>
      <x:c r="L279" s="26" t="n">
        <x:f>Mixed_Reconstructed!D79</x:f>
        <x:v>0.0087890625</x:v>
      </x:c>
      <x:c r="M279" s="26" t="n">
        <x:f>Mixed_Reconstructed!E79</x:f>
        <x:v>0.4873046875</x:v>
      </x:c>
      <x:c r="N279" s="26" t="n">
        <x:v>0.625</x:v>
      </x:c>
      <x:c r="O279" s="26" t="n">
        <x:v>0.625</x:v>
      </x:c>
      <x:c r="P279" s="26" t="n">
        <x:f>J279*E279+K279*F279+L279*G279+M279*H279</x:f>
        <x:v>0.621337890625</x:v>
      </x:c>
      <x:c r="Q279" s="26" t="n">
        <x:f>J279*E279+K279*G279+L279*F279+M279*H279</x:f>
        <x:v>0.625244140625</x:v>
      </x:c>
      <x:c r="R279" s="26" t="n">
        <x:f>(P279+Q279)/2</x:f>
        <x:v>0.623291015625</x:v>
      </x:c>
      <x:c r="S279" s="26" t="n">
        <x:f>P279-Q279</x:f>
        <x:v>-0.00390625</x:v>
      </x:c>
      <x:c r="T279" s="26" t="n">
        <x:f>(P279-N279)^2+(Q279-O279)^2</x:f>
        <x:v>0.000013470649719238281</x:v>
      </x:c>
    </x:row>
    <x:row r="280">
      <x:c r="A280" t="str">
        <x:v>C</x:v>
      </x:c>
      <x:c r="B280" t="n">
        <x:v>77</x:v>
      </x:c>
      <x:c r="C280" t="str">
        <x:v>Case 3a(ii) (PD), mixed</x:v>
      </x:c>
      <x:c r="D280" t="str">
        <x:v>mixed reconstructed</x:v>
      </x:c>
      <x:c r="E280" s="26" t="n">
        <x:v>0.875</x:v>
      </x:c>
      <x:c r="F280" s="26" t="n">
        <x:v>0</x:v>
      </x:c>
      <x:c r="G280" s="26" t="n">
        <x:v>1</x:v>
      </x:c>
      <x:c r="H280" s="26" t="n">
        <x:v>0.375</x:v>
      </x:c>
      <x:c r="I280" t="str">
        <x:v>pi/2</x:v>
      </x:c>
      <x:c r="J280" s="26" t="n">
        <x:f>Mixed_Reconstructed!B80</x:f>
        <x:v>0.4970703125</x:v>
      </x:c>
      <x:c r="K280" s="26" t="n">
        <x:f>Mixed_Reconstructed!C80</x:f>
        <x:v>0.01171875</x:v>
      </x:c>
      <x:c r="L280" s="26" t="n">
        <x:f>Mixed_Reconstructed!D80</x:f>
        <x:v>0.01171875</x:v>
      </x:c>
      <x:c r="M280" s="26" t="n">
        <x:f>Mixed_Reconstructed!E80</x:f>
        <x:v>0.4794921875</x:v>
      </x:c>
      <x:c r="N280" s="26" t="n">
        <x:v>0.625</x:v>
      </x:c>
      <x:c r="O280" s="26" t="n">
        <x:v>0.625</x:v>
      </x:c>
      <x:c r="P280" s="26" t="n">
        <x:f>J280*E280+K280*F280+L280*G280+M280*H280</x:f>
        <x:v>0.62646484375</x:v>
      </x:c>
      <x:c r="Q280" s="26" t="n">
        <x:f>J280*E280+K280*G280+L280*F280+M280*H280</x:f>
        <x:v>0.62646484375</x:v>
      </x:c>
      <x:c r="R280" s="26" t="n">
        <x:f>(P280+Q280)/2</x:f>
        <x:v>0.62646484375</x:v>
      </x:c>
      <x:c r="S280" s="26" t="n">
        <x:f>P280-Q280</x:f>
        <x:v>0</x:v>
      </x:c>
      <x:c r="T280" s="26" t="n">
        <x:f>(P280-N280)^2+(Q280-O280)^2</x:f>
        <x:v>0.000004291534423828125</x:v>
      </x:c>
    </x:row>
    <x:row r="281">
      <x:c r="A281" t="str">
        <x:v>C</x:v>
      </x:c>
      <x:c r="B281" t="n">
        <x:v>78</x:v>
      </x:c>
      <x:c r="C281" t="str">
        <x:v>Case 3a(ii) (PD), mixed</x:v>
      </x:c>
      <x:c r="D281" t="str">
        <x:v>mixed reconstructed</x:v>
      </x:c>
      <x:c r="E281" s="26" t="n">
        <x:v>0.875</x:v>
      </x:c>
      <x:c r="F281" s="26" t="n">
        <x:v>0</x:v>
      </x:c>
      <x:c r="G281" s="26" t="n">
        <x:v>1</x:v>
      </x:c>
      <x:c r="H281" s="26" t="n">
        <x:v>0.375</x:v>
      </x:c>
      <x:c r="I281" t="str">
        <x:v>pi/2</x:v>
      </x:c>
      <x:c r="J281" s="26" t="n">
        <x:f>Mixed_Reconstructed!B81</x:f>
        <x:v>0.4970703125</x:v>
      </x:c>
      <x:c r="K281" s="26" t="n">
        <x:f>Mixed_Reconstructed!C81</x:f>
        <x:v>0.013671875</x:v>
      </x:c>
      <x:c r="L281" s="26" t="n">
        <x:f>Mixed_Reconstructed!D81</x:f>
        <x:v>0.009765625</x:v>
      </x:c>
      <x:c r="M281" s="26" t="n">
        <x:f>Mixed_Reconstructed!E81</x:f>
        <x:v>0.4794921875</x:v>
      </x:c>
      <x:c r="N281" s="26" t="n">
        <x:v>0.625</x:v>
      </x:c>
      <x:c r="O281" s="26" t="n">
        <x:v>0.625</x:v>
      </x:c>
      <x:c r="P281" s="26" t="n">
        <x:f>J281*E281+K281*F281+L281*G281+M281*H281</x:f>
        <x:v>0.62451171875</x:v>
      </x:c>
      <x:c r="Q281" s="26" t="n">
        <x:f>J281*E281+K281*G281+L281*F281+M281*H281</x:f>
        <x:v>0.62841796875</x:v>
      </x:c>
      <x:c r="R281" s="26" t="n">
        <x:f>(P281+Q281)/2</x:f>
        <x:v>0.62646484375</x:v>
      </x:c>
      <x:c r="S281" s="26" t="n">
        <x:f>P281-Q281</x:f>
        <x:v>-0.00390625</x:v>
      </x:c>
      <x:c r="T281" s="26" t="n">
        <x:f>(P281-N281)^2+(Q281-O281)^2</x:f>
        <x:v>0.000011920928955078125</x:v>
      </x:c>
    </x:row>
    <x:row r="282">
      <x:c r="A282" t="str">
        <x:v>C</x:v>
      </x:c>
      <x:c r="B282" t="n">
        <x:v>79</x:v>
      </x:c>
      <x:c r="C282" t="str">
        <x:v>Case 3a(ii) (PD), mixed</x:v>
      </x:c>
      <x:c r="D282" t="str">
        <x:v>mixed reconstructed</x:v>
      </x:c>
      <x:c r="E282" s="26" t="n">
        <x:v>0.875</x:v>
      </x:c>
      <x:c r="F282" s="26" t="n">
        <x:v>0</x:v>
      </x:c>
      <x:c r="G282" s="26" t="n">
        <x:v>1</x:v>
      </x:c>
      <x:c r="H282" s="26" t="n">
        <x:v>0.375</x:v>
      </x:c>
      <x:c r="I282" t="str">
        <x:v>pi/2</x:v>
      </x:c>
      <x:c r="J282" s="26" t="n">
        <x:f>Mixed_Reconstructed!B82</x:f>
        <x:v>0.4970703125</x:v>
      </x:c>
      <x:c r="K282" s="26" t="n">
        <x:f>Mixed_Reconstructed!C82</x:f>
        <x:v>0.0107421875</x:v>
      </x:c>
      <x:c r="L282" s="26" t="n">
        <x:f>Mixed_Reconstructed!D82</x:f>
        <x:v>0.009765625</x:v>
      </x:c>
      <x:c r="M282" s="26" t="n">
        <x:f>Mixed_Reconstructed!E82</x:f>
        <x:v>0.482421875</x:v>
      </x:c>
      <x:c r="N282" s="26" t="n">
        <x:v>0.625</x:v>
      </x:c>
      <x:c r="O282" s="26" t="n">
        <x:v>0.625</x:v>
      </x:c>
      <x:c r="P282" s="26" t="n">
        <x:f>J282*E282+K282*F282+L282*G282+M282*H282</x:f>
        <x:v>0.6256103515625</x:v>
      </x:c>
      <x:c r="Q282" s="26" t="n">
        <x:f>J282*E282+K282*G282+L282*F282+M282*H282</x:f>
        <x:v>0.6265869140625</x:v>
      </x:c>
      <x:c r="R282" s="26" t="n">
        <x:f>(P282+Q282)/2</x:f>
        <x:v>0.6260986328125</x:v>
      </x:c>
      <x:c r="S282" s="26" t="n">
        <x:f>P282-Q282</x:f>
        <x:v>-0.0009765625</x:v>
      </x:c>
      <x:c r="T282" s="26" t="n">
        <x:f>(P282-N282)^2+(Q282-O282)^2</x:f>
        <x:v>0.0000028908252716064453</x:v>
      </x:c>
    </x:row>
    <x:row r="283">
      <x:c r="A283" t="str">
        <x:v>C</x:v>
      </x:c>
      <x:c r="B283" t="n">
        <x:v>80</x:v>
      </x:c>
      <x:c r="C283" t="str">
        <x:v>Case 3a(ii) (PD), mixed</x:v>
      </x:c>
      <x:c r="D283" t="str">
        <x:v>mixed reconstructed</x:v>
      </x:c>
      <x:c r="E283" s="26" t="n">
        <x:v>0.875</x:v>
      </x:c>
      <x:c r="F283" s="26" t="n">
        <x:v>0</x:v>
      </x:c>
      <x:c r="G283" s="26" t="n">
        <x:v>1</x:v>
      </x:c>
      <x:c r="H283" s="26" t="n">
        <x:v>0.375</x:v>
      </x:c>
      <x:c r="I283" t="str">
        <x:v>pi/2</x:v>
      </x:c>
      <x:c r="J283" s="26" t="n">
        <x:f>Mixed_Reconstructed!B83</x:f>
        <x:v>0.4912109375</x:v>
      </x:c>
      <x:c r="K283" s="26" t="n">
        <x:f>Mixed_Reconstructed!C83</x:f>
        <x:v>0.0166015625</x:v>
      </x:c>
      <x:c r="L283" s="26" t="n">
        <x:f>Mixed_Reconstructed!D83</x:f>
        <x:v>0.009765625</x:v>
      </x:c>
      <x:c r="M283" s="26" t="n">
        <x:f>Mixed_Reconstructed!E83</x:f>
        <x:v>0.482421875</x:v>
      </x:c>
      <x:c r="N283" s="26" t="n">
        <x:v>0.625</x:v>
      </x:c>
      <x:c r="O283" s="26" t="n">
        <x:v>0.625</x:v>
      </x:c>
      <x:c r="P283" s="26" t="n">
        <x:f>J283*E283+K283*F283+L283*G283+M283*H283</x:f>
        <x:v>0.6204833984375</x:v>
      </x:c>
      <x:c r="Q283" s="26" t="n">
        <x:f>J283*E283+K283*G283+L283*F283+M283*H283</x:f>
        <x:v>0.6273193359375</x:v>
      </x:c>
      <x:c r="R283" s="26" t="n">
        <x:f>(P283+Q283)/2</x:f>
        <x:v>0.6239013671875</x:v>
      </x:c>
      <x:c r="S283" s="26" t="n">
        <x:f>P283-Q283</x:f>
        <x:v>-0.0068359375</x:v>
      </x:c>
      <x:c r="T283" s="26" t="n">
        <x:f>(P283-N283)^2+(Q283-O283)^2</x:f>
        <x:v>0.000025779008865356445</x:v>
      </x:c>
    </x:row>
    <x:row r="284">
      <x:c r="A284" t="str">
        <x:v>C</x:v>
      </x:c>
      <x:c r="B284" t="n">
        <x:v>81</x:v>
      </x:c>
      <x:c r="C284" t="str">
        <x:v>Case 3a(ii) (PD), mixed</x:v>
      </x:c>
      <x:c r="D284" t="str">
        <x:v>mixed reconstructed</x:v>
      </x:c>
      <x:c r="E284" s="26" t="n">
        <x:v>0.875</x:v>
      </x:c>
      <x:c r="F284" s="26" t="n">
        <x:v>0</x:v>
      </x:c>
      <x:c r="G284" s="26" t="n">
        <x:v>1</x:v>
      </x:c>
      <x:c r="H284" s="26" t="n">
        <x:v>0.375</x:v>
      </x:c>
      <x:c r="I284" t="str">
        <x:v>pi/2</x:v>
      </x:c>
      <x:c r="J284" s="26" t="n">
        <x:f>Mixed_Reconstructed!B84</x:f>
        <x:v>0.4921875</x:v>
      </x:c>
      <x:c r="K284" s="26" t="n">
        <x:f>Mixed_Reconstructed!C84</x:f>
        <x:v>0.0146484375</x:v>
      </x:c>
      <x:c r="L284" s="26" t="n">
        <x:f>Mixed_Reconstructed!D84</x:f>
        <x:v>0.013671875</x:v>
      </x:c>
      <x:c r="M284" s="26" t="n">
        <x:f>Mixed_Reconstructed!E84</x:f>
        <x:v>0.4794921875</x:v>
      </x:c>
      <x:c r="N284" s="26" t="n">
        <x:v>0.625</x:v>
      </x:c>
      <x:c r="O284" s="26" t="n">
        <x:v>0.625</x:v>
      </x:c>
      <x:c r="P284" s="26" t="n">
        <x:f>J284*E284+K284*F284+L284*G284+M284*H284</x:f>
        <x:v>0.6241455078125</x:v>
      </x:c>
      <x:c r="Q284" s="26" t="n">
        <x:f>J284*E284+K284*G284+L284*F284+M284*H284</x:f>
        <x:v>0.6251220703125</x:v>
      </x:c>
      <x:c r="R284" s="26" t="n">
        <x:f>(P284+Q284)/2</x:f>
        <x:v>0.6246337890625</x:v>
      </x:c>
      <x:c r="S284" s="26" t="n">
        <x:f>P284-Q284</x:f>
        <x:v>-0.0009765625</x:v>
      </x:c>
      <x:c r="T284" s="26" t="n">
        <x:f>(P284-N284)^2+(Q284-O284)^2</x:f>
        <x:v>7.450580596923828e-7</x:v>
      </x:c>
    </x:row>
    <x:row r="285">
      <x:c r="A285" t="str">
        <x:v>C</x:v>
      </x:c>
      <x:c r="B285" t="n">
        <x:v>82</x:v>
      </x:c>
      <x:c r="C285" t="str">
        <x:v>Case 3a(ii) (PD), mixed</x:v>
      </x:c>
      <x:c r="D285" t="str">
        <x:v>mixed reconstructed</x:v>
      </x:c>
      <x:c r="E285" s="26" t="n">
        <x:v>0.875</x:v>
      </x:c>
      <x:c r="F285" s="26" t="n">
        <x:v>0</x:v>
      </x:c>
      <x:c r="G285" s="26" t="n">
        <x:v>1</x:v>
      </x:c>
      <x:c r="H285" s="26" t="n">
        <x:v>0.375</x:v>
      </x:c>
      <x:c r="I285" t="str">
        <x:v>pi/2</x:v>
      </x:c>
      <x:c r="J285" s="26" t="n">
        <x:f>Mixed_Reconstructed!B85</x:f>
        <x:v>0.4990234375</x:v>
      </x:c>
      <x:c r="K285" s="26" t="n">
        <x:f>Mixed_Reconstructed!C85</x:f>
        <x:v>0.0078125</x:v>
      </x:c>
      <x:c r="L285" s="26" t="n">
        <x:f>Mixed_Reconstructed!D85</x:f>
        <x:v>0.0087890625</x:v>
      </x:c>
      <x:c r="M285" s="26" t="n">
        <x:f>Mixed_Reconstructed!E85</x:f>
        <x:v>0.484375</x:v>
      </x:c>
      <x:c r="N285" s="26" t="n">
        <x:v>0.625</x:v>
      </x:c>
      <x:c r="O285" s="26" t="n">
        <x:v>0.625</x:v>
      </x:c>
      <x:c r="P285" s="26" t="n">
        <x:f>J285*E285+K285*F285+L285*G285+M285*H285</x:f>
        <x:v>0.6270751953125</x:v>
      </x:c>
      <x:c r="Q285" s="26" t="n">
        <x:f>J285*E285+K285*G285+L285*F285+M285*H285</x:f>
        <x:v>0.6260986328125</x:v>
      </x:c>
      <x:c r="R285" s="26" t="n">
        <x:f>(P285+Q285)/2</x:f>
        <x:v>0.6265869140625</x:v>
      </x:c>
      <x:c r="S285" s="26" t="n">
        <x:f>P285-Q285</x:f>
        <x:v>0.0009765625</x:v>
      </x:c>
      <x:c r="T285" s="26" t="n">
        <x:f>(P285-N285)^2+(Q285-O285)^2</x:f>
        <x:v>0.000005513429641723633</x:v>
      </x:c>
    </x:row>
    <x:row r="286">
      <x:c r="A286" t="str">
        <x:v>C</x:v>
      </x:c>
      <x:c r="B286" t="n">
        <x:v>83</x:v>
      </x:c>
      <x:c r="C286" t="str">
        <x:v>Case 3a(ii) (PD), mixed</x:v>
      </x:c>
      <x:c r="D286" t="str">
        <x:v>mixed reconstructed</x:v>
      </x:c>
      <x:c r="E286" s="26" t="n">
        <x:v>0.875</x:v>
      </x:c>
      <x:c r="F286" s="26" t="n">
        <x:v>0</x:v>
      </x:c>
      <x:c r="G286" s="26" t="n">
        <x:v>1</x:v>
      </x:c>
      <x:c r="H286" s="26" t="n">
        <x:v>0.375</x:v>
      </x:c>
      <x:c r="I286" t="str">
        <x:v>pi/2</x:v>
      </x:c>
      <x:c r="J286" s="26" t="n">
        <x:f>Mixed_Reconstructed!B86</x:f>
        <x:v>0.4921875</x:v>
      </x:c>
      <x:c r="K286" s="26" t="n">
        <x:f>Mixed_Reconstructed!C86</x:f>
        <x:v>0.0126953125</x:v>
      </x:c>
      <x:c r="L286" s="26" t="n">
        <x:f>Mixed_Reconstructed!D86</x:f>
        <x:v>0.0107421875</x:v>
      </x:c>
      <x:c r="M286" s="26" t="n">
        <x:f>Mixed_Reconstructed!E86</x:f>
        <x:v>0.484375</x:v>
      </x:c>
      <x:c r="N286" s="26" t="n">
        <x:v>0.625</x:v>
      </x:c>
      <x:c r="O286" s="26" t="n">
        <x:v>0.625</x:v>
      </x:c>
      <x:c r="P286" s="26" t="n">
        <x:f>J286*E286+K286*F286+L286*G286+M286*H286</x:f>
        <x:v>0.623046875</x:v>
      </x:c>
      <x:c r="Q286" s="26" t="n">
        <x:f>J286*E286+K286*G286+L286*F286+M286*H286</x:f>
        <x:v>0.625</x:v>
      </x:c>
      <x:c r="R286" s="26" t="n">
        <x:f>(P286+Q286)/2</x:f>
        <x:v>0.6240234375</x:v>
      </x:c>
      <x:c r="S286" s="26" t="n">
        <x:f>P286-Q286</x:f>
        <x:v>-0.001953125</x:v>
      </x:c>
      <x:c r="T286" s="26" t="n">
        <x:f>(P286-N286)^2+(Q286-O286)^2</x:f>
        <x:v>0.000003814697265625</x:v>
      </x:c>
    </x:row>
    <x:row r="287">
      <x:c r="A287" t="str">
        <x:v>C</x:v>
      </x:c>
      <x:c r="B287" t="n">
        <x:v>84</x:v>
      </x:c>
      <x:c r="C287" t="str">
        <x:v>Case 3a(ii) (PD), mixed</x:v>
      </x:c>
      <x:c r="D287" t="str">
        <x:v>mixed reconstructed</x:v>
      </x:c>
      <x:c r="E287" s="26" t="n">
        <x:v>0.875</x:v>
      </x:c>
      <x:c r="F287" s="26" t="n">
        <x:v>0</x:v>
      </x:c>
      <x:c r="G287" s="26" t="n">
        <x:v>1</x:v>
      </x:c>
      <x:c r="H287" s="26" t="n">
        <x:v>0.375</x:v>
      </x:c>
      <x:c r="I287" t="str">
        <x:v>pi/2</x:v>
      </x:c>
      <x:c r="J287" s="26" t="n">
        <x:f>Mixed_Reconstructed!B87</x:f>
        <x:v>0.4912109375</x:v>
      </x:c>
      <x:c r="K287" s="26" t="n">
        <x:f>Mixed_Reconstructed!C87</x:f>
        <x:v>0.01171875</x:v>
      </x:c>
      <x:c r="L287" s="26" t="n">
        <x:f>Mixed_Reconstructed!D87</x:f>
        <x:v>0.01171875</x:v>
      </x:c>
      <x:c r="M287" s="26" t="n">
        <x:f>Mixed_Reconstructed!E87</x:f>
        <x:v>0.4853515625</x:v>
      </x:c>
      <x:c r="N287" s="26" t="n">
        <x:v>0.625</x:v>
      </x:c>
      <x:c r="O287" s="26" t="n">
        <x:v>0.625</x:v>
      </x:c>
      <x:c r="P287" s="26" t="n">
        <x:f>J287*E287+K287*F287+L287*G287+M287*H287</x:f>
        <x:v>0.62353515625</x:v>
      </x:c>
      <x:c r="Q287" s="26" t="n">
        <x:f>J287*E287+K287*G287+L287*F287+M287*H287</x:f>
        <x:v>0.62353515625</x:v>
      </x:c>
      <x:c r="R287" s="26" t="n">
        <x:f>(P287+Q287)/2</x:f>
        <x:v>0.62353515625</x:v>
      </x:c>
      <x:c r="S287" s="26" t="n">
        <x:f>P287-Q287</x:f>
        <x:v>0</x:v>
      </x:c>
      <x:c r="T287" s="26" t="n">
        <x:f>(P287-N287)^2+(Q287-O287)^2</x:f>
        <x:v>0.000004291534423828125</x:v>
      </x:c>
    </x:row>
    <x:row r="288">
      <x:c r="A288" t="str">
        <x:v>C</x:v>
      </x:c>
      <x:c r="B288" t="n">
        <x:v>85</x:v>
      </x:c>
      <x:c r="C288" t="str">
        <x:v>Case 3a(ii) (PD), mixed</x:v>
      </x:c>
      <x:c r="D288" t="str">
        <x:v>mixed reconstructed</x:v>
      </x:c>
      <x:c r="E288" s="26" t="n">
        <x:v>0.875</x:v>
      </x:c>
      <x:c r="F288" s="26" t="n">
        <x:v>0</x:v>
      </x:c>
      <x:c r="G288" s="26" t="n">
        <x:v>1</x:v>
      </x:c>
      <x:c r="H288" s="26" t="n">
        <x:v>0.375</x:v>
      </x:c>
      <x:c r="I288" t="str">
        <x:v>pi/2</x:v>
      </x:c>
      <x:c r="J288" s="26" t="n">
        <x:f>Mixed_Reconstructed!B88</x:f>
        <x:v>0.4921875</x:v>
      </x:c>
      <x:c r="K288" s="26" t="n">
        <x:f>Mixed_Reconstructed!C88</x:f>
        <x:v>0.0166015625</x:v>
      </x:c>
      <x:c r="L288" s="26" t="n">
        <x:f>Mixed_Reconstructed!D88</x:f>
        <x:v>0.0078125</x:v>
      </x:c>
      <x:c r="M288" s="26" t="n">
        <x:f>Mixed_Reconstructed!E88</x:f>
        <x:v>0.4833984375</x:v>
      </x:c>
      <x:c r="N288" s="26" t="n">
        <x:v>0.625</x:v>
      </x:c>
      <x:c r="O288" s="26" t="n">
        <x:v>0.625</x:v>
      </x:c>
      <x:c r="P288" s="26" t="n">
        <x:f>J288*E288+K288*F288+L288*G288+M288*H288</x:f>
        <x:v>0.6197509765625</x:v>
      </x:c>
      <x:c r="Q288" s="26" t="n">
        <x:f>J288*E288+K288*G288+L288*F288+M288*H288</x:f>
        <x:v>0.6285400390625</x:v>
      </x:c>
      <x:c r="R288" s="26" t="n">
        <x:f>(P288+Q288)/2</x:f>
        <x:v>0.6241455078125</x:v>
      </x:c>
      <x:c r="S288" s="26" t="n">
        <x:f>P288-Q288</x:f>
        <x:v>-0.0087890625</x:v>
      </x:c>
      <x:c r="T288" s="26" t="n">
        <x:f>(P288-N288)^2+(Q288-O288)^2</x:f>
        <x:v>0.000040084123611450195</x:v>
      </x:c>
    </x:row>
    <x:row r="289">
      <x:c r="A289" t="str">
        <x:v>C</x:v>
      </x:c>
      <x:c r="B289" t="n">
        <x:v>86</x:v>
      </x:c>
      <x:c r="C289" t="str">
        <x:v>Case 3a(ii) (PD), mixed</x:v>
      </x:c>
      <x:c r="D289" t="str">
        <x:v>mixed reconstructed</x:v>
      </x:c>
      <x:c r="E289" s="26" t="n">
        <x:v>0.875</x:v>
      </x:c>
      <x:c r="F289" s="26" t="n">
        <x:v>0</x:v>
      </x:c>
      <x:c r="G289" s="26" t="n">
        <x:v>1</x:v>
      </x:c>
      <x:c r="H289" s="26" t="n">
        <x:v>0.375</x:v>
      </x:c>
      <x:c r="I289" t="str">
        <x:v>pi/2</x:v>
      </x:c>
      <x:c r="J289" s="26" t="n">
        <x:f>Mixed_Reconstructed!B89</x:f>
        <x:v>0.4912109375</x:v>
      </x:c>
      <x:c r="K289" s="26" t="n">
        <x:f>Mixed_Reconstructed!C89</x:f>
        <x:v>0.013671875</x:v>
      </x:c>
      <x:c r="L289" s="26" t="n">
        <x:f>Mixed_Reconstructed!D89</x:f>
        <x:v>0.0126953125</x:v>
      </x:c>
      <x:c r="M289" s="26" t="n">
        <x:f>Mixed_Reconstructed!E89</x:f>
        <x:v>0.482421875</x:v>
      </x:c>
      <x:c r="N289" s="26" t="n">
        <x:v>0.625</x:v>
      </x:c>
      <x:c r="O289" s="26" t="n">
        <x:v>0.625</x:v>
      </x:c>
      <x:c r="P289" s="26" t="n">
        <x:f>J289*E289+K289*F289+L289*G289+M289*H289</x:f>
        <x:v>0.6234130859375</x:v>
      </x:c>
      <x:c r="Q289" s="26" t="n">
        <x:f>J289*E289+K289*G289+L289*F289+M289*H289</x:f>
        <x:v>0.6243896484375</x:v>
      </x:c>
      <x:c r="R289" s="26" t="n">
        <x:f>(P289+Q289)/2</x:f>
        <x:v>0.6239013671875</x:v>
      </x:c>
      <x:c r="S289" s="26" t="n">
        <x:f>P289-Q289</x:f>
        <x:v>-0.0009765625</x:v>
      </x:c>
      <x:c r="T289" s="26" t="n">
        <x:f>(P289-N289)^2+(Q289-O289)^2</x:f>
        <x:v>0.0000028908252716064453</x:v>
      </x:c>
    </x:row>
    <x:row r="290">
      <x:c r="A290" t="str">
        <x:v>C</x:v>
      </x:c>
      <x:c r="B290" t="n">
        <x:v>87</x:v>
      </x:c>
      <x:c r="C290" t="str">
        <x:v>Case 3a(ii) (PD), mixed</x:v>
      </x:c>
      <x:c r="D290" t="str">
        <x:v>mixed reconstructed</x:v>
      </x:c>
      <x:c r="E290" s="26" t="n">
        <x:v>0.875</x:v>
      </x:c>
      <x:c r="F290" s="26" t="n">
        <x:v>0</x:v>
      </x:c>
      <x:c r="G290" s="26" t="n">
        <x:v>1</x:v>
      </x:c>
      <x:c r="H290" s="26" t="n">
        <x:v>0.375</x:v>
      </x:c>
      <x:c r="I290" t="str">
        <x:v>pi/2</x:v>
      </x:c>
      <x:c r="J290" s="26" t="n">
        <x:f>Mixed_Reconstructed!B90</x:f>
        <x:v>0.4951171875</x:v>
      </x:c>
      <x:c r="K290" s="26" t="n">
        <x:f>Mixed_Reconstructed!C90</x:f>
        <x:v>0.0146484375</x:v>
      </x:c>
      <x:c r="L290" s="26" t="n">
        <x:f>Mixed_Reconstructed!D90</x:f>
        <x:v>0.013671875</x:v>
      </x:c>
      <x:c r="M290" s="26" t="n">
        <x:f>Mixed_Reconstructed!E90</x:f>
        <x:v>0.4765625</x:v>
      </x:c>
      <x:c r="N290" s="26" t="n">
        <x:v>0.625</x:v>
      </x:c>
      <x:c r="O290" s="26" t="n">
        <x:v>0.625</x:v>
      </x:c>
      <x:c r="P290" s="26" t="n">
        <x:f>J290*E290+K290*F290+L290*G290+M290*H290</x:f>
        <x:v>0.6256103515625</x:v>
      </x:c>
      <x:c r="Q290" s="26" t="n">
        <x:f>J290*E290+K290*G290+L290*F290+M290*H290</x:f>
        <x:v>0.6265869140625</x:v>
      </x:c>
      <x:c r="R290" s="26" t="n">
        <x:f>(P290+Q290)/2</x:f>
        <x:v>0.6260986328125</x:v>
      </x:c>
      <x:c r="S290" s="26" t="n">
        <x:f>P290-Q290</x:f>
        <x:v>-0.0009765625</x:v>
      </x:c>
      <x:c r="T290" s="26" t="n">
        <x:f>(P290-N290)^2+(Q290-O290)^2</x:f>
        <x:v>0.0000028908252716064453</x:v>
      </x:c>
    </x:row>
    <x:row r="291">
      <x:c r="A291" t="str">
        <x:v>C</x:v>
      </x:c>
      <x:c r="B291" t="n">
        <x:v>88</x:v>
      </x:c>
      <x:c r="C291" t="str">
        <x:v>Case 3a(ii) (PD), mixed</x:v>
      </x:c>
      <x:c r="D291" t="str">
        <x:v>mixed reconstructed</x:v>
      </x:c>
      <x:c r="E291" s="26" t="n">
        <x:v>0.875</x:v>
      </x:c>
      <x:c r="F291" s="26" t="n">
        <x:v>0</x:v>
      </x:c>
      <x:c r="G291" s="26" t="n">
        <x:v>1</x:v>
      </x:c>
      <x:c r="H291" s="26" t="n">
        <x:v>0.375</x:v>
      </x:c>
      <x:c r="I291" t="str">
        <x:v>pi/2</x:v>
      </x:c>
      <x:c r="J291" s="26" t="n">
        <x:f>Mixed_Reconstructed!B91</x:f>
        <x:v>0.494140625</x:v>
      </x:c>
      <x:c r="K291" s="26" t="n">
        <x:f>Mixed_Reconstructed!C91</x:f>
        <x:v>0.0126953125</x:v>
      </x:c>
      <x:c r="L291" s="26" t="n">
        <x:f>Mixed_Reconstructed!D91</x:f>
        <x:v>0.0146484375</x:v>
      </x:c>
      <x:c r="M291" s="26" t="n">
        <x:f>Mixed_Reconstructed!E91</x:f>
        <x:v>0.478515625</x:v>
      </x:c>
      <x:c r="N291" s="26" t="n">
        <x:v>0.625</x:v>
      </x:c>
      <x:c r="O291" s="26" t="n">
        <x:v>0.625</x:v>
      </x:c>
      <x:c r="P291" s="26" t="n">
        <x:f>J291*E291+K291*F291+L291*G291+M291*H291</x:f>
        <x:v>0.62646484375</x:v>
      </x:c>
      <x:c r="Q291" s="26" t="n">
        <x:f>J291*E291+K291*G291+L291*F291+M291*H291</x:f>
        <x:v>0.62451171875</x:v>
      </x:c>
      <x:c r="R291" s="26" t="n">
        <x:f>(P291+Q291)/2</x:f>
        <x:v>0.62548828125</x:v>
      </x:c>
      <x:c r="S291" s="26" t="n">
        <x:f>P291-Q291</x:f>
        <x:v>0.001953125</x:v>
      </x:c>
      <x:c r="T291" s="26" t="n">
        <x:f>(P291-N291)^2+(Q291-O291)^2</x:f>
        <x:v>0.000002384185791015625</x:v>
      </x:c>
    </x:row>
    <x:row r="292">
      <x:c r="A292" t="str">
        <x:v>C</x:v>
      </x:c>
      <x:c r="B292" t="n">
        <x:v>89</x:v>
      </x:c>
      <x:c r="C292" t="str">
        <x:v>Case 3a(ii) (PD), mixed</x:v>
      </x:c>
      <x:c r="D292" t="str">
        <x:v>mixed reconstructed</x:v>
      </x:c>
      <x:c r="E292" s="26" t="n">
        <x:v>0.875</x:v>
      </x:c>
      <x:c r="F292" s="26" t="n">
        <x:v>0</x:v>
      </x:c>
      <x:c r="G292" s="26" t="n">
        <x:v>1</x:v>
      </x:c>
      <x:c r="H292" s="26" t="n">
        <x:v>0.375</x:v>
      </x:c>
      <x:c r="I292" t="str">
        <x:v>pi/2</x:v>
      </x:c>
      <x:c r="J292" s="26" t="n">
        <x:f>Mixed_Reconstructed!B92</x:f>
        <x:v>0.4951171875</x:v>
      </x:c>
      <x:c r="K292" s="26" t="n">
        <x:f>Mixed_Reconstructed!C92</x:f>
        <x:v>0.0078125</x:v>
      </x:c>
      <x:c r="L292" s="26" t="n">
        <x:f>Mixed_Reconstructed!D92</x:f>
        <x:v>0.0126953125</x:v>
      </x:c>
      <x:c r="M292" s="26" t="n">
        <x:f>Mixed_Reconstructed!E92</x:f>
        <x:v>0.484375</x:v>
      </x:c>
      <x:c r="N292" s="26" t="n">
        <x:v>0.625</x:v>
      </x:c>
      <x:c r="O292" s="26" t="n">
        <x:v>0.625</x:v>
      </x:c>
      <x:c r="P292" s="26" t="n">
        <x:f>J292*E292+K292*F292+L292*G292+M292*H292</x:f>
        <x:v>0.6275634765625</x:v>
      </x:c>
      <x:c r="Q292" s="26" t="n">
        <x:f>J292*E292+K292*G292+L292*F292+M292*H292</x:f>
        <x:v>0.6226806640625</x:v>
      </x:c>
      <x:c r="R292" s="26" t="n">
        <x:f>(P292+Q292)/2</x:f>
        <x:v>0.6251220703125</x:v>
      </x:c>
      <x:c r="S292" s="26" t="n">
        <x:f>P292-Q292</x:f>
        <x:v>0.0048828125</x:v>
      </x:c>
      <x:c r="T292" s="26" t="n">
        <x:f>(P292-N292)^2+(Q292-O292)^2</x:f>
        <x:v>0.00001195073127746582</x:v>
      </x:c>
    </x:row>
    <x:row r="293">
      <x:c r="A293" t="str">
        <x:v>C</x:v>
      </x:c>
      <x:c r="B293" t="n">
        <x:v>90</x:v>
      </x:c>
      <x:c r="C293" t="str">
        <x:v>Case 3a(ii) (PD), mixed</x:v>
      </x:c>
      <x:c r="D293" t="str">
        <x:v>mixed reconstructed</x:v>
      </x:c>
      <x:c r="E293" s="26" t="n">
        <x:v>0.875</x:v>
      </x:c>
      <x:c r="F293" s="26" t="n">
        <x:v>0</x:v>
      </x:c>
      <x:c r="G293" s="26" t="n">
        <x:v>1</x:v>
      </x:c>
      <x:c r="H293" s="26" t="n">
        <x:v>0.375</x:v>
      </x:c>
      <x:c r="I293" t="str">
        <x:v>pi/2</x:v>
      </x:c>
      <x:c r="J293" s="26" t="n">
        <x:f>Mixed_Reconstructed!B93</x:f>
        <x:v>0.494140625</x:v>
      </x:c>
      <x:c r="K293" s="26" t="n">
        <x:f>Mixed_Reconstructed!C93</x:f>
        <x:v>0.01171875</x:v>
      </x:c>
      <x:c r="L293" s="26" t="n">
        <x:f>Mixed_Reconstructed!D93</x:f>
        <x:v>0.0087890625</x:v>
      </x:c>
      <x:c r="M293" s="26" t="n">
        <x:f>Mixed_Reconstructed!E93</x:f>
        <x:v>0.4853515625</x:v>
      </x:c>
      <x:c r="N293" s="26" t="n">
        <x:v>0.625</x:v>
      </x:c>
      <x:c r="O293" s="26" t="n">
        <x:v>0.625</x:v>
      </x:c>
      <x:c r="P293" s="26" t="n">
        <x:f>J293*E293+K293*F293+L293*G293+M293*H293</x:f>
        <x:v>0.6231689453125</x:v>
      </x:c>
      <x:c r="Q293" s="26" t="n">
        <x:f>J293*E293+K293*G293+L293*F293+M293*H293</x:f>
        <x:v>0.6260986328125</x:v>
      </x:c>
      <x:c r="R293" s="26" t="n">
        <x:f>(P293+Q293)/2</x:f>
        <x:v>0.6246337890625</x:v>
      </x:c>
      <x:c r="S293" s="26" t="n">
        <x:f>P293-Q293</x:f>
        <x:v>-0.0029296875</x:v>
      </x:c>
      <x:c r="T293" s="26" t="n">
        <x:f>(P293-N293)^2+(Q293-O293)^2</x:f>
        <x:v>0.000004559755325317383</x:v>
      </x:c>
    </x:row>
    <x:row r="294">
      <x:c r="A294" t="str">
        <x:v>C</x:v>
      </x:c>
      <x:c r="B294" t="n">
        <x:v>91</x:v>
      </x:c>
      <x:c r="C294" t="str">
        <x:v>Case 3a(ii) (PD), mixed</x:v>
      </x:c>
      <x:c r="D294" t="str">
        <x:v>mixed reconstructed</x:v>
      </x:c>
      <x:c r="E294" s="26" t="n">
        <x:v>0.875</x:v>
      </x:c>
      <x:c r="F294" s="26" t="n">
        <x:v>0</x:v>
      </x:c>
      <x:c r="G294" s="26" t="n">
        <x:v>1</x:v>
      </x:c>
      <x:c r="H294" s="26" t="n">
        <x:v>0.375</x:v>
      </x:c>
      <x:c r="I294" t="str">
        <x:v>pi/2</x:v>
      </x:c>
      <x:c r="J294" s="26" t="n">
        <x:f>Mixed_Reconstructed!B94</x:f>
        <x:v>0.49609375</x:v>
      </x:c>
      <x:c r="K294" s="26" t="n">
        <x:f>Mixed_Reconstructed!C94</x:f>
        <x:v>0.009765625</x:v>
      </x:c>
      <x:c r="L294" s="26" t="n">
        <x:f>Mixed_Reconstructed!D94</x:f>
        <x:v>0.0107421875</x:v>
      </x:c>
      <x:c r="M294" s="26" t="n">
        <x:f>Mixed_Reconstructed!E94</x:f>
        <x:v>0.4833984375</x:v>
      </x:c>
      <x:c r="N294" s="26" t="n">
        <x:v>0.625</x:v>
      </x:c>
      <x:c r="O294" s="26" t="n">
        <x:v>0.625</x:v>
      </x:c>
      <x:c r="P294" s="26" t="n">
        <x:f>J294*E294+K294*F294+L294*G294+M294*H294</x:f>
        <x:v>0.6260986328125</x:v>
      </x:c>
      <x:c r="Q294" s="26" t="n">
        <x:f>J294*E294+K294*G294+L294*F294+M294*H294</x:f>
        <x:v>0.6251220703125</x:v>
      </x:c>
      <x:c r="R294" s="26" t="n">
        <x:f>(P294+Q294)/2</x:f>
        <x:v>0.6256103515625</x:v>
      </x:c>
      <x:c r="S294" s="26" t="n">
        <x:f>P294-Q294</x:f>
        <x:v>0.0009765625</x:v>
      </x:c>
      <x:c r="T294" s="26" t="n">
        <x:f>(P294-N294)^2+(Q294-O294)^2</x:f>
        <x:v>0.0000012218952178955078</x:v>
      </x:c>
    </x:row>
    <x:row r="295">
      <x:c r="A295" t="str">
        <x:v>C</x:v>
      </x:c>
      <x:c r="B295" t="n">
        <x:v>92</x:v>
      </x:c>
      <x:c r="C295" t="str">
        <x:v>Case 3a(ii) (PD), mixed</x:v>
      </x:c>
      <x:c r="D295" t="str">
        <x:v>mixed reconstructed</x:v>
      </x:c>
      <x:c r="E295" s="26" t="n">
        <x:v>0.875</x:v>
      </x:c>
      <x:c r="F295" s="26" t="n">
        <x:v>0</x:v>
      </x:c>
      <x:c r="G295" s="26" t="n">
        <x:v>1</x:v>
      </x:c>
      <x:c r="H295" s="26" t="n">
        <x:v>0.375</x:v>
      </x:c>
      <x:c r="I295" t="str">
        <x:v>pi/2</x:v>
      </x:c>
      <x:c r="J295" s="26" t="n">
        <x:f>Mixed_Reconstructed!B95</x:f>
        <x:v>0.4921875</x:v>
      </x:c>
      <x:c r="K295" s="26" t="n">
        <x:f>Mixed_Reconstructed!C95</x:f>
        <x:v>0.0126953125</x:v>
      </x:c>
      <x:c r="L295" s="26" t="n">
        <x:f>Mixed_Reconstructed!D95</x:f>
        <x:v>0.009765625</x:v>
      </x:c>
      <x:c r="M295" s="26" t="n">
        <x:f>Mixed_Reconstructed!E95</x:f>
        <x:v>0.4853515625</x:v>
      </x:c>
      <x:c r="N295" s="26" t="n">
        <x:v>0.625</x:v>
      </x:c>
      <x:c r="O295" s="26" t="n">
        <x:v>0.625</x:v>
      </x:c>
      <x:c r="P295" s="26" t="n">
        <x:f>J295*E295+K295*F295+L295*G295+M295*H295</x:f>
        <x:v>0.6224365234375</x:v>
      </x:c>
      <x:c r="Q295" s="26" t="n">
        <x:f>J295*E295+K295*G295+L295*F295+M295*H295</x:f>
        <x:v>0.6253662109375</x:v>
      </x:c>
      <x:c r="R295" s="26" t="n">
        <x:f>(P295+Q295)/2</x:f>
        <x:v>0.6239013671875</x:v>
      </x:c>
      <x:c r="S295" s="26" t="n">
        <x:f>P295-Q295</x:f>
        <x:v>-0.0029296875</x:v>
      </x:c>
      <x:c r="T295" s="26" t="n">
        <x:f>(P295-N295)^2+(Q295-O295)^2</x:f>
        <x:v>0.000006705522537231445</x:v>
      </x:c>
    </x:row>
    <x:row r="296">
      <x:c r="A296" t="str">
        <x:v>C</x:v>
      </x:c>
      <x:c r="B296" t="n">
        <x:v>93</x:v>
      </x:c>
      <x:c r="C296" t="str">
        <x:v>Case 3a(ii) (PD), mixed</x:v>
      </x:c>
      <x:c r="D296" t="str">
        <x:v>mixed reconstructed</x:v>
      </x:c>
      <x:c r="E296" s="26" t="n">
        <x:v>0.875</x:v>
      </x:c>
      <x:c r="F296" s="26" t="n">
        <x:v>0</x:v>
      </x:c>
      <x:c r="G296" s="26" t="n">
        <x:v>1</x:v>
      </x:c>
      <x:c r="H296" s="26" t="n">
        <x:v>0.375</x:v>
      </x:c>
      <x:c r="I296" t="str">
        <x:v>pi/2</x:v>
      </x:c>
      <x:c r="J296" s="26" t="n">
        <x:f>Mixed_Reconstructed!B96</x:f>
        <x:v>0.4951171875</x:v>
      </x:c>
      <x:c r="K296" s="26" t="n">
        <x:f>Mixed_Reconstructed!C96</x:f>
        <x:v>0.0146484375</x:v>
      </x:c>
      <x:c r="L296" s="26" t="n">
        <x:f>Mixed_Reconstructed!D96</x:f>
        <x:v>0.0048828125</x:v>
      </x:c>
      <x:c r="M296" s="26" t="n">
        <x:f>Mixed_Reconstructed!E96</x:f>
        <x:v>0.4853515625</x:v>
      </x:c>
      <x:c r="N296" s="26" t="n">
        <x:v>0.625</x:v>
      </x:c>
      <x:c r="O296" s="26" t="n">
        <x:v>0.625</x:v>
      </x:c>
      <x:c r="P296" s="26" t="n">
        <x:f>J296*E296+K296*F296+L296*G296+M296*H296</x:f>
        <x:v>0.6201171875</x:v>
      </x:c>
      <x:c r="Q296" s="26" t="n">
        <x:f>J296*E296+K296*G296+L296*F296+M296*H296</x:f>
        <x:v>0.6298828125</x:v>
      </x:c>
      <x:c r="R296" s="26" t="n">
        <x:f>(P296+Q296)/2</x:f>
        <x:v>0.625</x:v>
      </x:c>
      <x:c r="S296" s="26" t="n">
        <x:f>P296-Q296</x:f>
        <x:v>-0.009765625</x:v>
      </x:c>
      <x:c r="T296" s="26" t="n">
        <x:f>(P296-N296)^2+(Q296-O296)^2</x:f>
        <x:v>0.0000476837158203125</x:v>
      </x:c>
    </x:row>
    <x:row r="297">
      <x:c r="A297" t="str">
        <x:v>C</x:v>
      </x:c>
      <x:c r="B297" t="n">
        <x:v>94</x:v>
      </x:c>
      <x:c r="C297" t="str">
        <x:v>Case 3a(ii) (PD), mixed</x:v>
      </x:c>
      <x:c r="D297" t="str">
        <x:v>mixed reconstructed</x:v>
      </x:c>
      <x:c r="E297" s="26" t="n">
        <x:v>0.875</x:v>
      </x:c>
      <x:c r="F297" s="26" t="n">
        <x:v>0</x:v>
      </x:c>
      <x:c r="G297" s="26" t="n">
        <x:v>1</x:v>
      </x:c>
      <x:c r="H297" s="26" t="n">
        <x:v>0.375</x:v>
      </x:c>
      <x:c r="I297" t="str">
        <x:v>pi/2</x:v>
      </x:c>
      <x:c r="J297" s="26" t="n">
        <x:f>Mixed_Reconstructed!B97</x:f>
        <x:v>0.4970703125</x:v>
      </x:c>
      <x:c r="K297" s="26" t="n">
        <x:f>Mixed_Reconstructed!C97</x:f>
        <x:v>0.005859375</x:v>
      </x:c>
      <x:c r="L297" s="26" t="n">
        <x:f>Mixed_Reconstructed!D97</x:f>
        <x:v>0.0087890625</x:v>
      </x:c>
      <x:c r="M297" s="26" t="n">
        <x:f>Mixed_Reconstructed!E97</x:f>
        <x:v>0.48828125</x:v>
      </x:c>
      <x:c r="N297" s="26" t="n">
        <x:v>0.625</x:v>
      </x:c>
      <x:c r="O297" s="26" t="n">
        <x:v>0.625</x:v>
      </x:c>
      <x:c r="P297" s="26" t="n">
        <x:f>J297*E297+K297*F297+L297*G297+M297*H297</x:f>
        <x:v>0.6268310546875</x:v>
      </x:c>
      <x:c r="Q297" s="26" t="n">
        <x:f>J297*E297+K297*G297+L297*F297+M297*H297</x:f>
        <x:v>0.6239013671875</x:v>
      </x:c>
      <x:c r="R297" s="26" t="n">
        <x:f>(P297+Q297)/2</x:f>
        <x:v>0.6253662109375</x:v>
      </x:c>
      <x:c r="S297" s="26" t="n">
        <x:f>P297-Q297</x:f>
        <x:v>0.0029296875</x:v>
      </x:c>
      <x:c r="T297" s="26" t="n">
        <x:f>(P297-N297)^2+(Q297-O297)^2</x:f>
        <x:v>0.000004559755325317383</x:v>
      </x:c>
    </x:row>
    <x:row r="298">
      <x:c r="A298" t="str">
        <x:v>C</x:v>
      </x:c>
      <x:c r="B298" t="n">
        <x:v>95</x:v>
      </x:c>
      <x:c r="C298" t="str">
        <x:v>Case 3a(ii) (PD), mixed</x:v>
      </x:c>
      <x:c r="D298" t="str">
        <x:v>mixed reconstructed</x:v>
      </x:c>
      <x:c r="E298" s="26" t="n">
        <x:v>0.875</x:v>
      </x:c>
      <x:c r="F298" s="26" t="n">
        <x:v>0</x:v>
      </x:c>
      <x:c r="G298" s="26" t="n">
        <x:v>1</x:v>
      </x:c>
      <x:c r="H298" s="26" t="n">
        <x:v>0.375</x:v>
      </x:c>
      <x:c r="I298" t="str">
        <x:v>pi/2</x:v>
      </x:c>
      <x:c r="J298" s="26" t="n">
        <x:f>Mixed_Reconstructed!B98</x:f>
        <x:v>0.4931640625</x:v>
      </x:c>
      <x:c r="K298" s="26" t="n">
        <x:f>Mixed_Reconstructed!C98</x:f>
        <x:v>0.0126953125</x:v>
      </x:c>
      <x:c r="L298" s="26" t="n">
        <x:f>Mixed_Reconstructed!D98</x:f>
        <x:v>0.0048828125</x:v>
      </x:c>
      <x:c r="M298" s="26" t="n">
        <x:f>Mixed_Reconstructed!E98</x:f>
        <x:v>0.4892578125</x:v>
      </x:c>
      <x:c r="N298" s="26" t="n">
        <x:v>0.625</x:v>
      </x:c>
      <x:c r="O298" s="26" t="n">
        <x:v>0.625</x:v>
      </x:c>
      <x:c r="P298" s="26" t="n">
        <x:f>J298*E298+K298*F298+L298*G298+M298*H298</x:f>
        <x:v>0.619873046875</x:v>
      </x:c>
      <x:c r="Q298" s="26" t="n">
        <x:f>J298*E298+K298*G298+L298*F298+M298*H298</x:f>
        <x:v>0.627685546875</x:v>
      </x:c>
      <x:c r="R298" s="26" t="n">
        <x:f>(P298+Q298)/2</x:f>
        <x:v>0.623779296875</x:v>
      </x:c>
      <x:c r="S298" s="26" t="n">
        <x:f>P298-Q298</x:f>
        <x:v>-0.0078125</x:v>
      </x:c>
      <x:c r="T298" s="26" t="n">
        <x:f>(P298-N298)^2+(Q298-O298)^2</x:f>
        <x:v>0.00003349781036376953</x:v>
      </x:c>
    </x:row>
    <x:row r="299">
      <x:c r="A299" t="str">
        <x:v>C</x:v>
      </x:c>
      <x:c r="B299" t="n">
        <x:v>96</x:v>
      </x:c>
      <x:c r="C299" t="str">
        <x:v>Case 3a(ii) (PD), mixed</x:v>
      </x:c>
      <x:c r="D299" t="str">
        <x:v>mixed reconstructed</x:v>
      </x:c>
      <x:c r="E299" s="26" t="n">
        <x:v>0.875</x:v>
      </x:c>
      <x:c r="F299" s="26" t="n">
        <x:v>0</x:v>
      </x:c>
      <x:c r="G299" s="26" t="n">
        <x:v>1</x:v>
      </x:c>
      <x:c r="H299" s="26" t="n">
        <x:v>0.375</x:v>
      </x:c>
      <x:c r="I299" t="str">
        <x:v>pi/2</x:v>
      </x:c>
      <x:c r="J299" s="26" t="n">
        <x:f>Mixed_Reconstructed!B99</x:f>
        <x:v>0.498046875</x:v>
      </x:c>
      <x:c r="K299" s="26" t="n">
        <x:f>Mixed_Reconstructed!C99</x:f>
        <x:v>0.0126953125</x:v>
      </x:c>
      <x:c r="L299" s="26" t="n">
        <x:f>Mixed_Reconstructed!D99</x:f>
        <x:v>0.0078125</x:v>
      </x:c>
      <x:c r="M299" s="26" t="n">
        <x:f>Mixed_Reconstructed!E99</x:f>
        <x:v>0.4814453125</x:v>
      </x:c>
      <x:c r="N299" s="26" t="n">
        <x:v>0.625</x:v>
      </x:c>
      <x:c r="O299" s="26" t="n">
        <x:v>0.625</x:v>
      </x:c>
      <x:c r="P299" s="26" t="n">
        <x:f>J299*E299+K299*F299+L299*G299+M299*H299</x:f>
        <x:v>0.6241455078125</x:v>
      </x:c>
      <x:c r="Q299" s="26" t="n">
        <x:f>J299*E299+K299*G299+L299*F299+M299*H299</x:f>
        <x:v>0.6290283203125</x:v>
      </x:c>
      <x:c r="R299" s="26" t="n">
        <x:f>(P299+Q299)/2</x:f>
        <x:v>0.6265869140625</x:v>
      </x:c>
      <x:c r="S299" s="26" t="n">
        <x:f>P299-Q299</x:f>
        <x:v>-0.0048828125</x:v>
      </x:c>
      <x:c r="T299" s="26" t="n">
        <x:f>(P299-N299)^2+(Q299-O299)^2</x:f>
        <x:v>0.000016957521438598633</x:v>
      </x:c>
    </x:row>
    <x:row r="300">
      <x:c r="A300" t="str">
        <x:v>C</x:v>
      </x:c>
      <x:c r="B300" t="n">
        <x:v>97</x:v>
      </x:c>
      <x:c r="C300" t="str">
        <x:v>Case 3a(ii) (PD), mixed</x:v>
      </x:c>
      <x:c r="D300" t="str">
        <x:v>mixed reconstructed</x:v>
      </x:c>
      <x:c r="E300" s="26" t="n">
        <x:v>0.875</x:v>
      </x:c>
      <x:c r="F300" s="26" t="n">
        <x:v>0</x:v>
      </x:c>
      <x:c r="G300" s="26" t="n">
        <x:v>1</x:v>
      </x:c>
      <x:c r="H300" s="26" t="n">
        <x:v>0.375</x:v>
      </x:c>
      <x:c r="I300" t="str">
        <x:v>pi/2</x:v>
      </x:c>
      <x:c r="J300" s="26" t="n">
        <x:f>Mixed_Reconstructed!B100</x:f>
        <x:v>0.494140625</x:v>
      </x:c>
      <x:c r="K300" s="26" t="n">
        <x:f>Mixed_Reconstructed!C100</x:f>
        <x:v>0.0107421875</x:v>
      </x:c>
      <x:c r="L300" s="26" t="n">
        <x:f>Mixed_Reconstructed!D100</x:f>
        <x:v>0.0107421875</x:v>
      </x:c>
      <x:c r="M300" s="26" t="n">
        <x:f>Mixed_Reconstructed!E100</x:f>
        <x:v>0.484375</x:v>
      </x:c>
      <x:c r="N300" s="26" t="n">
        <x:v>0.625</x:v>
      </x:c>
      <x:c r="O300" s="26" t="n">
        <x:v>0.625</x:v>
      </x:c>
      <x:c r="P300" s="26" t="n">
        <x:f>J300*E300+K300*F300+L300*G300+M300*H300</x:f>
        <x:v>0.624755859375</x:v>
      </x:c>
      <x:c r="Q300" s="26" t="n">
        <x:f>J300*E300+K300*G300+L300*F300+M300*H300</x:f>
        <x:v>0.624755859375</x:v>
      </x:c>
      <x:c r="R300" s="26" t="n">
        <x:f>(P300+Q300)/2</x:f>
        <x:v>0.624755859375</x:v>
      </x:c>
      <x:c r="S300" s="26" t="n">
        <x:f>P300-Q300</x:f>
        <x:v>0</x:v>
      </x:c>
      <x:c r="T300" s="26" t="n">
        <x:f>(P300-N300)^2+(Q300-O300)^2</x:f>
        <x:v>1.1920928955078125e-7</x:v>
      </x:c>
    </x:row>
    <x:row r="301">
      <x:c r="A301" t="str">
        <x:v>C</x:v>
      </x:c>
      <x:c r="B301" t="n">
        <x:v>98</x:v>
      </x:c>
      <x:c r="C301" t="str">
        <x:v>Case 3a(ii) (PD), mixed</x:v>
      </x:c>
      <x:c r="D301" t="str">
        <x:v>mixed reconstructed</x:v>
      </x:c>
      <x:c r="E301" s="26" t="n">
        <x:v>0.875</x:v>
      </x:c>
      <x:c r="F301" s="26" t="n">
        <x:v>0</x:v>
      </x:c>
      <x:c r="G301" s="26" t="n">
        <x:v>1</x:v>
      </x:c>
      <x:c r="H301" s="26" t="n">
        <x:v>0.375</x:v>
      </x:c>
      <x:c r="I301" t="str">
        <x:v>pi/2</x:v>
      </x:c>
      <x:c r="J301" s="26" t="n">
        <x:f>Mixed_Reconstructed!B101</x:f>
        <x:v>0.4970703125</x:v>
      </x:c>
      <x:c r="K301" s="26" t="n">
        <x:f>Mixed_Reconstructed!C101</x:f>
        <x:v>0.01171875</x:v>
      </x:c>
      <x:c r="L301" s="26" t="n">
        <x:f>Mixed_Reconstructed!D101</x:f>
        <x:v>0.0087890625</x:v>
      </x:c>
      <x:c r="M301" s="26" t="n">
        <x:f>Mixed_Reconstructed!E101</x:f>
        <x:v>0.482421875</x:v>
      </x:c>
      <x:c r="N301" s="26" t="n">
        <x:v>0.625</x:v>
      </x:c>
      <x:c r="O301" s="26" t="n">
        <x:v>0.625</x:v>
      </x:c>
      <x:c r="P301" s="26" t="n">
        <x:f>J301*E301+K301*F301+L301*G301+M301*H301</x:f>
        <x:v>0.6246337890625</x:v>
      </x:c>
      <x:c r="Q301" s="26" t="n">
        <x:f>J301*E301+K301*G301+L301*F301+M301*H301</x:f>
        <x:v>0.6275634765625</x:v>
      </x:c>
      <x:c r="R301" s="26" t="n">
        <x:f>(P301+Q301)/2</x:f>
        <x:v>0.6260986328125</x:v>
      </x:c>
      <x:c r="S301" s="26" t="n">
        <x:f>P301-Q301</x:f>
        <x:v>-0.0029296875</x:v>
      </x:c>
      <x:c r="T301" s="26" t="n">
        <x:f>(P301-N301)^2+(Q301-O301)^2</x:f>
        <x:v>0.000006705522537231445</x:v>
      </x:c>
    </x:row>
    <x:row r="302">
      <x:c r="A302" t="str">
        <x:v>C</x:v>
      </x:c>
      <x:c r="B302" t="n">
        <x:v>99</x:v>
      </x:c>
      <x:c r="C302" t="str">
        <x:v>Case 3a(ii) (PD), mixed</x:v>
      </x:c>
      <x:c r="D302" t="str">
        <x:v>mixed reconstructed</x:v>
      </x:c>
      <x:c r="E302" s="26" t="n">
        <x:v>0.875</x:v>
      </x:c>
      <x:c r="F302" s="26" t="n">
        <x:v>0</x:v>
      </x:c>
      <x:c r="G302" s="26" t="n">
        <x:v>1</x:v>
      </x:c>
      <x:c r="H302" s="26" t="n">
        <x:v>0.375</x:v>
      </x:c>
      <x:c r="I302" t="str">
        <x:v>pi/2</x:v>
      </x:c>
      <x:c r="J302" s="26" t="n">
        <x:f>Mixed_Reconstructed!B102</x:f>
        <x:v>0.4951171875</x:v>
      </x:c>
      <x:c r="K302" s="26" t="n">
        <x:f>Mixed_Reconstructed!C102</x:f>
        <x:v>0.0185546875</x:v>
      </x:c>
      <x:c r="L302" s="26" t="n">
        <x:f>Mixed_Reconstructed!D102</x:f>
        <x:v>0.0107421875</x:v>
      </x:c>
      <x:c r="M302" s="26" t="n">
        <x:f>Mixed_Reconstructed!E102</x:f>
        <x:v>0.4755859375</x:v>
      </x:c>
      <x:c r="N302" s="26" t="n">
        <x:v>0.625</x:v>
      </x:c>
      <x:c r="O302" s="26" t="n">
        <x:v>0.625</x:v>
      </x:c>
      <x:c r="P302" s="26" t="n">
        <x:f>J302*E302+K302*F302+L302*G302+M302*H302</x:f>
        <x:v>0.622314453125</x:v>
      </x:c>
      <x:c r="Q302" s="26" t="n">
        <x:f>J302*E302+K302*G302+L302*F302+M302*H302</x:f>
        <x:v>0.630126953125</x:v>
      </x:c>
      <x:c r="R302" s="26" t="n">
        <x:f>(P302+Q302)/2</x:f>
        <x:v>0.626220703125</x:v>
      </x:c>
      <x:c r="S302" s="26" t="n">
        <x:f>P302-Q302</x:f>
        <x:v>-0.0078125</x:v>
      </x:c>
      <x:c r="T302" s="26" t="n">
        <x:f>(P302-N302)^2+(Q302-O302)^2</x:f>
        <x:v>0.00003349781036376953</x:v>
      </x:c>
    </x:row>
    <x:row r="303">
      <x:c r="A303" t="str">
        <x:v>C</x:v>
      </x:c>
      <x:c r="B303" t="n">
        <x:v>100</x:v>
      </x:c>
      <x:c r="C303" t="str">
        <x:v>Case 3a(ii) (PD), mixed</x:v>
      </x:c>
      <x:c r="D303" t="str">
        <x:v>mixed reconstructed</x:v>
      </x:c>
      <x:c r="E303" s="26" t="n">
        <x:v>0.875</x:v>
      </x:c>
      <x:c r="F303" s="26" t="n">
        <x:v>0</x:v>
      </x:c>
      <x:c r="G303" s="26" t="n">
        <x:v>1</x:v>
      </x:c>
      <x:c r="H303" s="26" t="n">
        <x:v>0.375</x:v>
      </x:c>
      <x:c r="I303" t="str">
        <x:v>pi/2</x:v>
      </x:c>
      <x:c r="J303" s="26" t="n">
        <x:f>Mixed_Reconstructed!B103</x:f>
        <x:v>0.490234375</x:v>
      </x:c>
      <x:c r="K303" s="26" t="n">
        <x:f>Mixed_Reconstructed!C103</x:f>
        <x:v>0.0126953125</x:v>
      </x:c>
      <x:c r="L303" s="26" t="n">
        <x:f>Mixed_Reconstructed!D103</x:f>
        <x:v>0.0126953125</x:v>
      </x:c>
      <x:c r="M303" s="26" t="n">
        <x:f>Mixed_Reconstructed!E103</x:f>
        <x:v>0.484375</x:v>
      </x:c>
      <x:c r="N303" s="26" t="n">
        <x:v>0.625</x:v>
      </x:c>
      <x:c r="O303" s="26" t="n">
        <x:v>0.625</x:v>
      </x:c>
      <x:c r="P303" s="26" t="n">
        <x:f>J303*E303+K303*F303+L303*G303+M303*H303</x:f>
        <x:v>0.623291015625</x:v>
      </x:c>
      <x:c r="Q303" s="26" t="n">
        <x:f>J303*E303+K303*G303+L303*F303+M303*H303</x:f>
        <x:v>0.623291015625</x:v>
      </x:c>
      <x:c r="R303" s="26" t="n">
        <x:f>(P303+Q303)/2</x:f>
        <x:v>0.623291015625</x:v>
      </x:c>
      <x:c r="S303" s="26" t="n">
        <x:f>P303-Q303</x:f>
        <x:v>0</x:v>
      </x:c>
      <x:c r="T303" s="26" t="n">
        <x:f>(P303-N303)^2+(Q303-O303)^2</x:f>
        <x:v>0.000005841255187988281</x:v>
      </x:c>
    </x:row>
  </x:sheetData>
  <x:mergeCells>
    <x:mergeCell ref="A1:T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" hidden="0" customWidth="1"/>
    <x:col min="3" max="3" width="22" hidden="0" customWidth="1"/>
    <x:col min="4" max="4" width="8.130000114440918" hidden="0" customWidth="1"/>
    <x:col min="5" max="5" width="8.130000114440918" hidden="0" customWidth="1"/>
    <x:col min="6" max="6" width="8.130000114440918" hidden="0" customWidth="1"/>
    <x:col min="7" max="7" width="8.130000114440918" hidden="0" customWidth="1"/>
    <x:col min="8" max="8" width="18.5" hidden="0" customWidth="1"/>
    <x:col min="9" max="9" width="16.25" hidden="0" customWidth="1"/>
    <x:col min="10" max="10" width="8.380000114440918" hidden="0" customWidth="1"/>
    <x:col min="11" max="11" width="6.130000114440918" hidden="0" customWidth="1"/>
  </x:cols>
  <x:sheetData>
    <x:row r="1">
      <x:c r="A1" s="5" t="str">
        <x:v>Supplementary Table 2: outcome-distribution statistics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5" t="str">
        <x:v>circuit</x:v>
      </x:c>
      <x:c r="B3" s="15" t="str">
        <x:v>shots/run</x:v>
      </x:c>
      <x:c r="C3" s="15" t="str">
        <x:v>ideal distribution</x:v>
      </x:c>
      <x:c r="D3" s="15" t="str">
        <x:v>mean p00</x:v>
      </x:c>
      <x:c r="E3" s="15" t="str">
        <x:v>mean p01</x:v>
      </x:c>
      <x:c r="F3" s="15" t="str">
        <x:v>mean p10</x:v>
      </x:c>
      <x:c r="G3" s="15" t="str">
        <x:v>mean p11</x:v>
      </x:c>
      <x:c r="H3" s="15" t="str">
        <x:v>target probability mean</x:v>
      </x:c>
      <x:c r="I3" s="15" t="str">
        <x:v>target probability SD</x:v>
      </x:c>
      <x:c r="J3" s="15" t="str">
        <x:v>TVD mean</x:v>
      </x:c>
      <x:c r="K3" s="15" t="str">
        <x:v>TVD SD</x:v>
      </x:c>
    </x:row>
    <x:row r="4">
      <x:c r="A4" t="str">
        <x:v>iX, (I+iZ)/sqrt(2)</x:v>
      </x:c>
      <x:c r="B4" t="n">
        <x:v>1024</x:v>
      </x:c>
      <x:c r="C4" t="str">
        <x:v>(0,0.5,0.5,0)</x:v>
      </x:c>
      <x:c r="D4" s="34" t="n">
        <x:v>0.00810546875</x:v>
      </x:c>
      <x:c r="E4" s="34" t="n">
        <x:v>0.491005859375</x:v>
      </x:c>
      <x:c r="F4" s="34" t="n">
        <x:v>0.4927734375</x:v>
      </x:c>
      <x:c r="G4" s="34" t="n">
        <x:v>0.008115234375</x:v>
      </x:c>
      <x:c r="H4" s="34" t="n">
        <x:v>0.983779296875</x:v>
      </x:c>
      <x:c r="I4" s="34" t="n">
        <x:v>0.0033309575486403288</x:v>
      </x:c>
      <x:c r="J4" s="34" t="n">
        <x:v>0.0221875</x:v>
      </x:c>
      <x:c r="K4" s="34" t="n">
        <x:v>0.007473560315001159</x:v>
      </x:c>
    </x:row>
    <x:row r="5">
      <x:c r="A5" t="str">
        <x:v>(I,I)</x:v>
      </x:c>
      <x:c r="B5" t="n">
        <x:v>256</x:v>
      </x:c>
      <x:c r="C5" t="str">
        <x:v>(1,0,0,0)</x:v>
      </x:c>
      <x:c r="D5" s="34" t="n">
        <x:v>0.9894921875</x:v>
      </x:c>
      <x:c r="E5" s="34" t="n">
        <x:v>0.0041015625</x:v>
      </x:c>
      <x:c r="F5" s="34" t="n">
        <x:v>0.0047265625</x:v>
      </x:c>
      <x:c r="G5" s="34" t="n">
        <x:v>0.0016796875</x:v>
      </x:c>
      <x:c r="H5" s="34" t="n">
        <x:v>0.9894921875</x:v>
      </x:c>
      <x:c r="I5" s="34" t="n">
        <x:v>0.006099610098316415</x:v>
      </x:c>
      <x:c r="J5" s="34" t="n">
        <x:v>0.0105078125</x:v>
      </x:c>
      <x:c r="K5" s="34" t="n">
        <x:v>0.006099610098316415</x:v>
      </x:c>
    </x:row>
    <x:row r="6">
      <x:c r="A6" t="str">
        <x:v>(I,iZ)</x:v>
      </x:c>
      <x:c r="B6" t="n">
        <x:v>256</x:v>
      </x:c>
      <x:c r="C6" t="str">
        <x:v>(0,0,0,1)</x:v>
      </x:c>
      <x:c r="D6" s="34" t="n">
        <x:v>0.0145703125</x:v>
      </x:c>
      <x:c r="E6" s="34" t="n">
        <x:v>0.0073046875</x:v>
      </x:c>
      <x:c r="F6" s="34" t="n">
        <x:v>0.0100390625</x:v>
      </x:c>
      <x:c r="G6" s="34" t="n">
        <x:v>0.9680859375</x:v>
      </x:c>
      <x:c r="H6" s="34" t="n">
        <x:v>0.9680859375</x:v>
      </x:c>
      <x:c r="I6" s="34" t="n">
        <x:v>0.010117249199092316</x:v>
      </x:c>
      <x:c r="J6" s="34" t="n">
        <x:v>0.0319140625</x:v>
      </x:c>
      <x:c r="K6" s="34" t="n">
        <x:v>0.010117249199092316</x:v>
      </x:c>
    </x:row>
    <x:row r="7">
      <x:c r="A7" t="str">
        <x:v>(iZ,I)</x:v>
      </x:c>
      <x:c r="B7" t="n">
        <x:v>256</x:v>
      </x:c>
      <x:c r="C7" t="str">
        <x:v>(0,0,0,1)</x:v>
      </x:c>
      <x:c r="D7" s="34" t="n">
        <x:v>0.0036328125</x:v>
      </x:c>
      <x:c r="E7" s="34" t="n">
        <x:v>0.01671875</x:v>
      </x:c>
      <x:c r="F7" s="34" t="n">
        <x:v>0.01828125</x:v>
      </x:c>
      <x:c r="G7" s="34" t="n">
        <x:v>0.9613671875</x:v>
      </x:c>
      <x:c r="H7" s="34" t="n">
        <x:v>0.9613671875</x:v>
      </x:c>
      <x:c r="I7" s="34" t="n">
        <x:v>0.011919510857838085</x:v>
      </x:c>
      <x:c r="J7" s="34" t="n">
        <x:v>0.0386328125</x:v>
      </x:c>
      <x:c r="K7" s="34" t="n">
        <x:v>0.011919510857838083</x:v>
      </x:c>
    </x:row>
    <x:row r="8">
      <x:c r="A8" t="str">
        <x:v>(iZ,iZ)</x:v>
      </x:c>
      <x:c r="B8" t="n">
        <x:v>256</x:v>
      </x:c>
      <x:c r="C8" t="str">
        <x:v>(1,0,0,0)</x:v>
      </x:c>
      <x:c r="D8" s="34" t="n">
        <x:v>0.9727734375</x:v>
      </x:c>
      <x:c r="E8" s="34" t="n">
        <x:v>0.021328125</x:v>
      </x:c>
      <x:c r="F8" s="34" t="n">
        <x:v>0.0038671875</x:v>
      </x:c>
      <x:c r="G8" s="34" t="n">
        <x:v>0.00203125</x:v>
      </x:c>
      <x:c r="H8" s="34" t="n">
        <x:v>0.9727734375</x:v>
      </x:c>
      <x:c r="I8" s="34" t="n">
        <x:v>0.00992344073186346</x:v>
      </x:c>
      <x:c r="J8" s="34" t="n">
        <x:v>0.0272265625</x:v>
      </x:c>
      <x:c r="K8" s="34" t="n">
        <x:v>0.00992344073186346</x:v>
      </x:c>
    </x:row>
    <x:row r="9">
      <x:c r="A9" t="str">
        <x:v>Reconstructed mixed profile</x:v>
      </x:c>
      <x:c r="B9" t="str">
        <x:v>4x256</x:v>
      </x:c>
      <x:c r="C9" t="str">
        <x:v>(0.5,0,0,0.5)</x:v>
      </x:c>
      <x:c r="D9" s="34" t="n">
        <x:v>0.4951171875</x:v>
      </x:c>
      <x:c r="E9" s="34" t="n">
        <x:v>0.01236328125</x:v>
      </x:c>
      <x:c r="F9" s="34" t="n">
        <x:v>0.009228515625</x:v>
      </x:c>
      <x:c r="G9" s="34" t="n">
        <x:v>0.483291015625</x:v>
      </x:c>
      <x:c r="H9" s="34" t="str"/>
      <x:c r="I9" s="34" t="str"/>
      <x:c r="J9" s="34" t="n">
        <x:v>0.021728515625</x:v>
      </x:c>
      <x:c r="K9" s="34" t="n">
        <x:v>0.003924395100212341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8" hidden="0" customWidth="1"/>
    <x:col min="4" max="4" width="15.130000114440918" hidden="0" customWidth="1"/>
    <x:col min="5" max="5" width="15.130000114440918" hidden="0" customWidth="1"/>
    <x:col min="6" max="6" width="8" hidden="0" customWidth="1"/>
    <x:col min="7" max="7" width="8" hidden="0" customWidth="1"/>
    <x:col min="8" max="8" width="6.25" hidden="0" customWidth="1"/>
    <x:col min="9" max="9" width="6.25" hidden="0" customWidth="1"/>
    <x:col min="10" max="10" width="7.5" hidden="0" customWidth="1"/>
  </x:cols>
  <x:sheetData>
    <x:row r="1">
      <x:c r="A1" s="5" t="str">
        <x:v>Supplementary Table 3: payoff statistics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5" t="str">
        <x:v>example</x:v>
      </x:c>
      <x:c r="B3" s="15" t="str">
        <x:v>theory u1</x:v>
      </x:c>
      <x:c r="C3" s="15" t="str">
        <x:v>theory u2</x:v>
      </x:c>
      <x:c r="D3" s="15" t="str">
        <x:v>measured mean u1</x:v>
      </x:c>
      <x:c r="E3" s="15" t="str">
        <x:v>measured mean u2</x:v>
      </x:c>
      <x:c r="F3" s="15" t="str">
        <x:v>run SD u1</x:v>
      </x:c>
      <x:c r="G3" s="15" t="str">
        <x:v>run SD u2</x:v>
      </x:c>
      <x:c r="H3" s="15" t="str">
        <x:v>bias u1</x:v>
      </x:c>
      <x:c r="I3" s="15" t="str">
        <x:v>bias u2</x:v>
      </x:c>
      <x:c r="J3" s="15" t="str">
        <x:v>2D RMSE</x:v>
      </x:c>
    </x:row>
    <x:row r="4">
      <x:c r="A4" t="str">
        <x:v>Case 1a (BoS), pure</x:v>
      </x:c>
      <x:c r="B4" s="34" t="n">
        <x:v>0.8</x:v>
      </x:c>
      <x:c r="C4" s="34" t="n">
        <x:v>0.8</x:v>
      </x:c>
      <x:c r="D4" s="34" t="n">
        <x:v>0.7894033203125</x:v>
      </x:c>
      <x:c r="E4" s="34" t="n">
        <x:v>0.7886962890625</x:v>
      </x:c>
      <x:c r="F4" s="34" t="n">
        <x:v>0.006642633742878593</x:v>
      </x:c>
      <x:c r="G4" s="34" t="n">
        <x:v>0.006298491660371846</x:v>
      </x:c>
      <x:c r="H4" s="34" t="n">
        <x:v>-0.010596679687499999</x:v>
      </x:c>
      <x:c r="I4" s="34" t="n">
        <x:v>-0.011303710937500044</x:v>
      </x:c>
      <x:c r="J4" s="34" t="n">
        <x:v>0.0179727884812975</x:v>
      </x:c>
    </x:row>
    <x:row r="5">
      <x:c r="A5" t="str">
        <x:v>Case 3a(i) (PD), pure</x:v>
      </x:c>
      <x:c r="B5" s="34" t="n">
        <x:v>0.5</x:v>
      </x:c>
      <x:c r="C5" s="34" t="n">
        <x:v>0.5</x:v>
      </x:c>
      <x:c r="D5" s="34" t="n">
        <x:v>0.5004755859374999</x:v>
      </x:c>
      <x:c r="E5" s="34" t="n">
        <x:v>0.4987080078124999</x:v>
      </x:c>
      <x:c r="F5" s="34" t="n">
        <x:v>0.01534766257553252</x:v>
      </x:c>
      <x:c r="G5" s="34" t="n">
        <x:v>0.015025937649142607</x:v>
      </x:c>
      <x:c r="H5" s="34" t="n">
        <x:v>0.0004755859374998561</x:v>
      </x:c>
      <x:c r="I5" s="34" t="n">
        <x:v>-0.0012919921875000906</x:v>
      </x:c>
      <x:c r="J5" s="34" t="n">
        <x:v>0.021415220733794652</x:v>
      </x:c>
    </x:row>
    <x:row r="6">
      <x:c r="A6" t="str">
        <x:v>Case 3a(ii) (PD), mixed</x:v>
      </x:c>
      <x:c r="B6" s="34" t="n">
        <x:v>0.625</x:v>
      </x:c>
      <x:c r="C6" s="34" t="n">
        <x:v>0.625</x:v>
      </x:c>
      <x:c r="D6" s="34" t="n">
        <x:v>0.623690185546875</x:v>
      </x:c>
      <x:c r="E6" s="34" t="n">
        <x:v>0.626824951171875</x:v>
      </x:c>
      <x:c r="F6" s="34" t="n">
        <x:v>0.0027916687072960388</x:v>
      </x:c>
      <x:c r="G6" s="34" t="n">
        <x:v>0.0024545872457198987</x:v>
      </x:c>
      <x:c r="H6" s="34" t="n">
        <x:v>-0.0013098144531249467</x:v>
      </x:c>
      <x:c r="I6" s="34" t="n">
        <x:v>0.0018249511718749778</x:v>
      </x:c>
      <x:c r="J6" s="34" t="n">
        <x:v>0.0043273882738100065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9.75" hidden="0" customWidth="1"/>
    <x:col min="4" max="4" width="16" hidden="0" customWidth="1"/>
    <x:col min="5" max="5" width="16.3799991607666" hidden="0" customWidth="1"/>
    <x:col min="6" max="6" width="13.75" hidden="0" customWidth="1"/>
    <x:col min="7" max="7" width="11.5" hidden="0" customWidth="1"/>
    <x:col min="8" max="8" width="17.75" hidden="0" customWidth="1"/>
    <x:col min="9" max="9" width="18.25" hidden="0" customWidth="1"/>
  </x:cols>
  <x:sheetData>
    <x:row r="1">
      <x:c r="A1" s="5" t="str">
        <x:v>Supplementary Table 4: precision of equal-payoff estimates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5" t="str">
        <x:v>example</x:v>
      </x:c>
      <x:c r="B3" s="15" t="str">
        <x:v>common mean</x:v>
      </x:c>
      <x:c r="C3" s="15" t="str">
        <x:v>common SD</x:v>
      </x:c>
      <x:c r="D3" s="15" t="str">
        <x:v>common 95% CI low</x:v>
      </x:c>
      <x:c r="E3" s="15" t="str">
        <x:v>common 95% CI high</x:v>
      </x:c>
      <x:c r="F3" s="15" t="str">
        <x:v>asymmetry mean</x:v>
      </x:c>
      <x:c r="G3" s="15" t="str">
        <x:v>asymmetry SD</x:v>
      </x:c>
      <x:c r="H3" s="15" t="str">
        <x:v>asymmetry 95% CI low</x:v>
      </x:c>
      <x:c r="I3" s="15" t="str">
        <x:v>asymmetry 95% CI high</x:v>
      </x:c>
    </x:row>
    <x:row r="4">
      <x:c r="A4" t="str">
        <x:v>Case 1a (BoS), pure</x:v>
      </x:c>
      <x:c r="B4" s="34" t="n">
        <x:v>0.7890498046875</x:v>
      </x:c>
      <x:c r="C4" s="34" t="n">
        <x:v>0.0022713481880439978</x:v>
      </x:c>
      <x:c r="D4" s="34" t="n">
        <x:v>0.7885991199297328</x:v>
      </x:c>
      <x:c r="E4" s="34" t="n">
        <x:v>0.7895004894452672</x:v>
      </x:c>
      <x:c r="F4" s="34" t="n">
        <x:v>0.0007070312500000065</x:v>
      </x:c>
      <x:c r="G4" s="34" t="n">
        <x:v>0.012122502633956523</x:v>
      </x:c>
      <x:c r="H4" s="34" t="n">
        <x:v>-0.0016983362721947465</x:v>
      </x:c>
      <x:c r="I4" s="34" t="n">
        <x:v>0.0031123987721947593</x:v>
      </x:c>
    </x:row>
    <x:row r="5">
      <x:c r="A5" t="str">
        <x:v>Case 3a(i) (PD), pure</x:v>
      </x:c>
      <x:c r="B5" s="34" t="n">
        <x:v>0.4995917968749999</x:v>
      </x:c>
      <x:c r="C5" s="34" t="n">
        <x:v>0.001023463402787332</x:v>
      </x:c>
      <x:c r="D5" s="34" t="n">
        <x:v>0.499388719531686</x:v>
      </x:c>
      <x:c r="E5" s="34" t="n">
        <x:v>0.49979487421831376</x:v>
      </x:c>
      <x:c r="F5" s="34" t="n">
        <x:v>0.0017675781250000005</x:v>
      </x:c>
      <x:c r="G5" s="34" t="n">
        <x:v>0.030306256584891274</x:v>
      </x:c>
      <x:c r="H5" s="34" t="n">
        <x:v>-0.004245840680486874</x:v>
      </x:c>
      <x:c r="I5" s="34" t="n">
        <x:v>0.007780996930486875</x:v>
      </x:c>
    </x:row>
    <x:row r="6">
      <x:c r="A6" t="str">
        <x:v>Case 3a(ii) (PD), mixed</x:v>
      </x:c>
      <x:c r="B6" s="34" t="n">
        <x:v>0.625257568359375</x:v>
      </x:c>
      <x:c r="C6" s="34" t="n">
        <x:v>0.0015112610651994624</x:v>
      </x:c>
      <x:c r="D6" s="34" t="n">
        <x:v>0.6249577013769908</x:v>
      </x:c>
      <x:c r="E6" s="34" t="n">
        <x:v>0.6255574353417591</x:v>
      </x:c>
      <x:c r="F6" s="34" t="n">
        <x:v>-0.003134765625</x:v>
      </x:c>
      <x:c r="G6" s="34" t="n">
        <x:v>0.004301300432141682</x:v>
      </x:c>
      <x:c r="H6" s="34" t="n">
        <x:v>-0.003988236948132151</x:v>
      </x:c>
      <x:c r="I6" s="34" t="n">
        <x:v>-0.002281294301867849</x:v>
      </x:c>
    </x:row>
  </x:sheetData>
  <x:mergeCells>
    <x:mergeCell ref="A1:I1"/>
  </x:mergeCells>
  <x:pageMargins left="0.7" right="0.7" top="0.75" bottom="0.75" header="0.3" footer="0.3"/>
</x:worksheet>
</file>